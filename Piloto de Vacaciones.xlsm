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ustomProperty5.bin" ContentType="application/vnd.openxmlformats-officedocument.spreadsheetml.customProperty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drawings/drawing5.xml" ContentType="application/vnd.openxmlformats-officedocument.drawing+xml"/>
  <Override PartName="/xl/ctrlProps/ctrlProp15.xml" ContentType="application/vnd.ms-excel.controlproperties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drawings/drawing8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9.xml" ContentType="application/vnd.openxmlformats-officedocument.drawing+xml"/>
  <Override PartName="/xl/ctrlProps/ctrlProp20.xml" ContentType="application/vnd.ms-excel.controlproperties+xml"/>
  <Override PartName="/xl/drawings/drawing10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jader\Videos\"/>
    </mc:Choice>
  </mc:AlternateContent>
  <xr:revisionPtr revIDLastSave="0" documentId="13_ncr:1_{9B6CF660-C2A4-4C37-9429-403AB0D20ED3}" xr6:coauthVersionLast="47" xr6:coauthVersionMax="47" xr10:uidLastSave="{00000000-0000-0000-0000-000000000000}"/>
  <bookViews>
    <workbookView xWindow="-120" yWindow="-120" windowWidth="20730" windowHeight="11160" tabRatio="917" activeTab="2" xr2:uid="{00000000-000D-0000-FFFF-FFFF00000000}"/>
  </bookViews>
  <sheets>
    <sheet name="MENU" sheetId="7" r:id="rId1"/>
    <sheet name="Parametros" sheetId="8" r:id="rId2"/>
    <sheet name="Planilla" sheetId="19" r:id="rId3"/>
    <sheet name="Feriados" sheetId="18" r:id="rId4"/>
    <sheet name="Registro_Diario" sheetId="14" r:id="rId5"/>
    <sheet name="Registro_Mensual" sheetId="9" r:id="rId6"/>
    <sheet name="Resumen_Asistencia" sheetId="15" r:id="rId7"/>
    <sheet name="Solicitud_Vacaciones" sheetId="17" r:id="rId8"/>
    <sheet name="Estatus de Vacaciones" sheetId="13" r:id="rId9"/>
    <sheet name="Calculo" sheetId="10" r:id="rId10"/>
    <sheet name="Reportes" sheetId="12" r:id="rId11"/>
  </sheets>
  <externalReferences>
    <externalReference r:id="rId12"/>
  </externalReferences>
  <definedNames>
    <definedName name="_xlnm._FilterDatabase" localSheetId="5" hidden="1">Registro_Mensual!$A$3:$E$143</definedName>
    <definedName name="_xlnm.Print_Area" localSheetId="10">Reportes!$A$1:$M$26</definedName>
    <definedName name="Lista_Empleados">#REF!</definedName>
  </definedNames>
  <calcPr calcId="191029"/>
  <pivotCaches>
    <pivotCache cacheId="0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16" i="19" l="1"/>
  <c r="M9" i="19"/>
  <c r="L6" i="19"/>
  <c r="P6" i="19" s="1"/>
  <c r="L7" i="19"/>
  <c r="P7" i="19" s="1"/>
  <c r="L8" i="19"/>
  <c r="L9" i="19"/>
  <c r="P9" i="19" s="1"/>
  <c r="L10" i="19"/>
  <c r="O10" i="19" s="1"/>
  <c r="L11" i="19"/>
  <c r="O11" i="19" s="1"/>
  <c r="L12" i="19"/>
  <c r="L13" i="19"/>
  <c r="N13" i="19" s="1"/>
  <c r="L14" i="19"/>
  <c r="O14" i="19" s="1"/>
  <c r="L15" i="19"/>
  <c r="N15" i="19" s="1"/>
  <c r="L16" i="19"/>
  <c r="N16" i="19" s="1"/>
  <c r="L17" i="19"/>
  <c r="O17" i="19" s="1"/>
  <c r="L18" i="19"/>
  <c r="P18" i="19" s="1"/>
  <c r="L19" i="19"/>
  <c r="O19" i="19" s="1"/>
  <c r="L20" i="19"/>
  <c r="M20" i="19" s="1"/>
  <c r="L21" i="19"/>
  <c r="P21" i="19" s="1"/>
  <c r="L22" i="19"/>
  <c r="O22" i="19" s="1"/>
  <c r="L23" i="19"/>
  <c r="O23" i="19" s="1"/>
  <c r="L24" i="19"/>
  <c r="M24" i="19" s="1"/>
  <c r="AJ18" i="19"/>
  <c r="AJ19" i="19" s="1"/>
  <c r="AL19" i="19" s="1"/>
  <c r="AJ16" i="19"/>
  <c r="AJ15" i="19"/>
  <c r="AR12" i="19"/>
  <c r="AR11" i="19"/>
  <c r="AJ8" i="19"/>
  <c r="AJ9" i="19" s="1"/>
  <c r="AJ10" i="19" s="1"/>
  <c r="AL10" i="19" s="1"/>
  <c r="AO7" i="19"/>
  <c r="AP5" i="19"/>
  <c r="AQ5" i="19" s="1"/>
  <c r="AS5" i="19" s="1"/>
  <c r="K25" i="19"/>
  <c r="J25" i="19"/>
  <c r="I25" i="19"/>
  <c r="H25" i="19"/>
  <c r="F25" i="19"/>
  <c r="L5" i="19"/>
  <c r="O5" i="19" s="1"/>
  <c r="N17" i="19" l="1"/>
  <c r="N9" i="19"/>
  <c r="P22" i="19"/>
  <c r="P17" i="19"/>
  <c r="P15" i="19"/>
  <c r="M15" i="19"/>
  <c r="M10" i="19"/>
  <c r="Q10" i="19" s="1"/>
  <c r="N18" i="19"/>
  <c r="O24" i="19"/>
  <c r="M13" i="19"/>
  <c r="Q13" i="19" s="1"/>
  <c r="N24" i="19"/>
  <c r="Q24" i="19" s="1"/>
  <c r="O13" i="19"/>
  <c r="N23" i="19"/>
  <c r="O9" i="19"/>
  <c r="Q9" i="19" s="1"/>
  <c r="N20" i="19"/>
  <c r="P24" i="19"/>
  <c r="M22" i="19"/>
  <c r="Q22" i="19" s="1"/>
  <c r="P10" i="19"/>
  <c r="M17" i="19"/>
  <c r="N6" i="19"/>
  <c r="N5" i="19"/>
  <c r="O21" i="19"/>
  <c r="M16" i="19"/>
  <c r="Q16" i="19" s="1"/>
  <c r="N12" i="19"/>
  <c r="O20" i="19"/>
  <c r="O8" i="19"/>
  <c r="P16" i="19"/>
  <c r="M14" i="19"/>
  <c r="N22" i="19"/>
  <c r="N10" i="19"/>
  <c r="O18" i="19"/>
  <c r="O6" i="19"/>
  <c r="P14" i="19"/>
  <c r="N11" i="19"/>
  <c r="O7" i="19"/>
  <c r="M5" i="19"/>
  <c r="N21" i="19"/>
  <c r="P5" i="19"/>
  <c r="P13" i="19"/>
  <c r="M12" i="19"/>
  <c r="N8" i="19"/>
  <c r="P12" i="19"/>
  <c r="M23" i="19"/>
  <c r="M11" i="19"/>
  <c r="N19" i="19"/>
  <c r="N7" i="19"/>
  <c r="O15" i="19"/>
  <c r="P23" i="19"/>
  <c r="P11" i="19"/>
  <c r="M8" i="19"/>
  <c r="O12" i="19"/>
  <c r="P20" i="19"/>
  <c r="M19" i="19"/>
  <c r="M7" i="19"/>
  <c r="P19" i="19"/>
  <c r="M21" i="19"/>
  <c r="P8" i="19"/>
  <c r="M18" i="19"/>
  <c r="Q18" i="19" s="1"/>
  <c r="M6" i="19"/>
  <c r="Q6" i="19" s="1"/>
  <c r="N14" i="19"/>
  <c r="AR13" i="19"/>
  <c r="AP6" i="19"/>
  <c r="AQ6" i="19" s="1"/>
  <c r="AS6" i="19" s="1"/>
  <c r="AS7" i="19" s="1"/>
  <c r="AP8" i="19"/>
  <c r="AQ8" i="19" s="1"/>
  <c r="AS8" i="19" s="1"/>
  <c r="L25" i="19"/>
  <c r="Q17" i="19" l="1"/>
  <c r="Q15" i="19"/>
  <c r="Q21" i="19"/>
  <c r="Q12" i="19"/>
  <c r="Q8" i="19"/>
  <c r="Q20" i="19"/>
  <c r="Q5" i="19"/>
  <c r="Q23" i="19"/>
  <c r="Q11" i="19"/>
  <c r="Q7" i="19"/>
  <c r="Q19" i="19"/>
  <c r="Q14" i="19"/>
  <c r="O25" i="19"/>
  <c r="P25" i="19"/>
  <c r="N25" i="19"/>
  <c r="M25" i="19"/>
  <c r="Q25" i="19" l="1"/>
  <c r="E3" i="13"/>
  <c r="D22" i="10"/>
  <c r="G22" i="10" s="1"/>
  <c r="H22" i="10" s="1"/>
  <c r="E22" i="10"/>
  <c r="F22" i="10" s="1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5" i="12"/>
  <c r="J17" i="10"/>
  <c r="J18" i="10"/>
  <c r="J19" i="10"/>
  <c r="J20" i="10"/>
  <c r="J23" i="10"/>
  <c r="J24" i="10"/>
  <c r="J3" i="10"/>
  <c r="J16" i="10"/>
  <c r="K17" i="10"/>
  <c r="K18" i="10"/>
  <c r="K19" i="10"/>
  <c r="K20" i="10"/>
  <c r="K21" i="10"/>
  <c r="K23" i="10"/>
  <c r="K24" i="10"/>
  <c r="K2" i="10"/>
  <c r="K3" i="10"/>
  <c r="K4" i="10"/>
  <c r="K5" i="10"/>
  <c r="K6" i="10"/>
  <c r="K7" i="10"/>
  <c r="K8" i="10"/>
  <c r="K9" i="10"/>
  <c r="K10" i="10"/>
  <c r="K11" i="10"/>
  <c r="K12" i="10"/>
  <c r="K13" i="10"/>
  <c r="K14" i="10"/>
  <c r="K15" i="10"/>
  <c r="K16" i="10"/>
  <c r="E4" i="13"/>
  <c r="F6" i="17"/>
  <c r="D24" i="10"/>
  <c r="G24" i="10" s="1"/>
  <c r="H24" i="10" s="1"/>
  <c r="E24" i="10"/>
  <c r="F24" i="10" s="1"/>
  <c r="D3" i="10"/>
  <c r="G3" i="10" s="1"/>
  <c r="H3" i="10" s="1"/>
  <c r="D4" i="10"/>
  <c r="G4" i="10" s="1"/>
  <c r="H4" i="10" s="1"/>
  <c r="D5" i="10"/>
  <c r="D6" i="10"/>
  <c r="G6" i="10" s="1"/>
  <c r="H6" i="10" s="1"/>
  <c r="D7" i="10"/>
  <c r="G7" i="10" s="1"/>
  <c r="H7" i="10" s="1"/>
  <c r="D8" i="10"/>
  <c r="D9" i="10"/>
  <c r="G9" i="10" s="1"/>
  <c r="D10" i="10"/>
  <c r="D11" i="10"/>
  <c r="G11" i="10" s="1"/>
  <c r="D12" i="10"/>
  <c r="G12" i="10" s="1"/>
  <c r="D13" i="10"/>
  <c r="G13" i="10" s="1"/>
  <c r="D14" i="10"/>
  <c r="G14" i="10" s="1"/>
  <c r="H14" i="10" s="1"/>
  <c r="D15" i="10"/>
  <c r="G15" i="10" s="1"/>
  <c r="H15" i="10" s="1"/>
  <c r="D16" i="10"/>
  <c r="G16" i="10" s="1"/>
  <c r="H16" i="10" s="1"/>
  <c r="D17" i="10"/>
  <c r="D18" i="10"/>
  <c r="G18" i="10" s="1"/>
  <c r="H18" i="10" s="1"/>
  <c r="D19" i="10"/>
  <c r="G19" i="10" s="1"/>
  <c r="H19" i="10" s="1"/>
  <c r="D20" i="10"/>
  <c r="D21" i="10"/>
  <c r="G21" i="10" s="1"/>
  <c r="D23" i="10"/>
  <c r="G23" i="10" s="1"/>
  <c r="E3" i="10"/>
  <c r="F3" i="10" s="1"/>
  <c r="D6" i="12" s="1"/>
  <c r="E4" i="10"/>
  <c r="F4" i="10" s="1"/>
  <c r="D7" i="12" s="1"/>
  <c r="E5" i="10"/>
  <c r="F5" i="10" s="1"/>
  <c r="D8" i="12" s="1"/>
  <c r="E6" i="10"/>
  <c r="F6" i="10" s="1"/>
  <c r="D9" i="12" s="1"/>
  <c r="E7" i="10"/>
  <c r="F7" i="10" s="1"/>
  <c r="D10" i="12" s="1"/>
  <c r="E8" i="10"/>
  <c r="F8" i="10" s="1"/>
  <c r="D11" i="12" s="1"/>
  <c r="E9" i="10"/>
  <c r="F9" i="10" s="1"/>
  <c r="D12" i="12" s="1"/>
  <c r="E10" i="10"/>
  <c r="E11" i="10"/>
  <c r="F11" i="10" s="1"/>
  <c r="D14" i="12" s="1"/>
  <c r="E12" i="10"/>
  <c r="F12" i="10" s="1"/>
  <c r="D15" i="12" s="1"/>
  <c r="E13" i="10"/>
  <c r="F13" i="10" s="1"/>
  <c r="D16" i="12" s="1"/>
  <c r="E14" i="10"/>
  <c r="F14" i="10" s="1"/>
  <c r="D17" i="12" s="1"/>
  <c r="E15" i="10"/>
  <c r="F15" i="10" s="1"/>
  <c r="D18" i="12" s="1"/>
  <c r="E16" i="10"/>
  <c r="F16" i="10" s="1"/>
  <c r="D19" i="12" s="1"/>
  <c r="E17" i="10"/>
  <c r="F17" i="10" s="1"/>
  <c r="D20" i="12" s="1"/>
  <c r="E18" i="10"/>
  <c r="F18" i="10" s="1"/>
  <c r="D21" i="12" s="1"/>
  <c r="E19" i="10"/>
  <c r="F19" i="10" s="1"/>
  <c r="D22" i="12" s="1"/>
  <c r="E20" i="10"/>
  <c r="F20" i="10" s="1"/>
  <c r="D23" i="12" s="1"/>
  <c r="E21" i="10"/>
  <c r="F21" i="10" s="1"/>
  <c r="D24" i="12" s="1"/>
  <c r="E23" i="10"/>
  <c r="F23" i="10" s="1"/>
  <c r="D2" i="10"/>
  <c r="G2" i="10" s="1"/>
  <c r="E2" i="10"/>
  <c r="E7" i="13"/>
  <c r="J4" i="10" s="1"/>
  <c r="E8" i="13"/>
  <c r="J5" i="10" s="1"/>
  <c r="E9" i="13"/>
  <c r="J6" i="10" s="1"/>
  <c r="E10" i="13"/>
  <c r="J7" i="10" s="1"/>
  <c r="E11" i="13"/>
  <c r="J8" i="10" s="1"/>
  <c r="E12" i="13"/>
  <c r="J9" i="10" s="1"/>
  <c r="E13" i="13"/>
  <c r="J10" i="10" s="1"/>
  <c r="E14" i="13"/>
  <c r="J11" i="10" s="1"/>
  <c r="E15" i="13"/>
  <c r="J12" i="10" s="1"/>
  <c r="E16" i="13"/>
  <c r="J13" i="10" s="1"/>
  <c r="E17" i="13"/>
  <c r="J14" i="10" s="1"/>
  <c r="E18" i="13"/>
  <c r="J15" i="10" s="1"/>
  <c r="E5" i="13"/>
  <c r="F3" i="17"/>
  <c r="J21" i="10" l="1"/>
  <c r="J2" i="10"/>
  <c r="F10" i="10"/>
  <c r="D13" i="12" s="1"/>
  <c r="F2" i="10"/>
  <c r="I22" i="10"/>
  <c r="H2" i="10"/>
  <c r="I24" i="10"/>
  <c r="L24" i="10" s="1"/>
  <c r="H9" i="10"/>
  <c r="I9" i="10" s="1"/>
  <c r="I15" i="10"/>
  <c r="I3" i="10"/>
  <c r="I16" i="10"/>
  <c r="I14" i="10"/>
  <c r="I4" i="10"/>
  <c r="H21" i="10"/>
  <c r="I21" i="10" s="1"/>
  <c r="H2" i="13" s="1"/>
  <c r="I2" i="13" s="1"/>
  <c r="G10" i="10"/>
  <c r="H10" i="10" s="1"/>
  <c r="H23" i="10"/>
  <c r="I23" i="10" s="1"/>
  <c r="L23" i="10" s="1"/>
  <c r="G20" i="10"/>
  <c r="H20" i="10" s="1"/>
  <c r="I20" i="10" s="1"/>
  <c r="G8" i="10"/>
  <c r="H8" i="10" s="1"/>
  <c r="I8" i="10" s="1"/>
  <c r="G17" i="10"/>
  <c r="H17" i="10" s="1"/>
  <c r="I17" i="10" s="1"/>
  <c r="G5" i="10"/>
  <c r="H5" i="10" s="1"/>
  <c r="I5" i="10" s="1"/>
  <c r="H11" i="10"/>
  <c r="I11" i="10" s="1"/>
  <c r="H13" i="10"/>
  <c r="I13" i="10" s="1"/>
  <c r="I19" i="10"/>
  <c r="I7" i="10"/>
  <c r="H12" i="10"/>
  <c r="I12" i="10" s="1"/>
  <c r="I18" i="10"/>
  <c r="I6" i="10"/>
  <c r="J2" i="13" l="1"/>
  <c r="I10" i="10"/>
  <c r="I13" i="13" s="1"/>
  <c r="D5" i="12"/>
  <c r="I2" i="10"/>
  <c r="L9" i="10"/>
  <c r="L20" i="10"/>
  <c r="L11" i="10"/>
  <c r="L17" i="10"/>
  <c r="L8" i="10"/>
  <c r="L18" i="10"/>
  <c r="L12" i="10"/>
  <c r="L4" i="10"/>
  <c r="L7" i="10"/>
  <c r="L14" i="10"/>
  <c r="L19" i="10"/>
  <c r="L16" i="10"/>
  <c r="L3" i="10"/>
  <c r="H10" i="13"/>
  <c r="J10" i="13" s="1"/>
  <c r="H17" i="13"/>
  <c r="J17" i="13" s="1"/>
  <c r="L21" i="10"/>
  <c r="H9" i="13"/>
  <c r="J9" i="13" s="1"/>
  <c r="L6" i="10"/>
  <c r="H16" i="13"/>
  <c r="J16" i="13" s="1"/>
  <c r="L13" i="10"/>
  <c r="H18" i="13"/>
  <c r="J18" i="13" s="1"/>
  <c r="L15" i="10"/>
  <c r="H8" i="13"/>
  <c r="J8" i="13" s="1"/>
  <c r="L5" i="10"/>
  <c r="I8" i="13"/>
  <c r="H6" i="13"/>
  <c r="J6" i="13" s="1"/>
  <c r="H11" i="13"/>
  <c r="J11" i="13" s="1"/>
  <c r="I17" i="13"/>
  <c r="H15" i="13"/>
  <c r="J15" i="13" s="1"/>
  <c r="I14" i="13"/>
  <c r="H12" i="13"/>
  <c r="J12" i="13" s="1"/>
  <c r="I9" i="13"/>
  <c r="H7" i="13"/>
  <c r="J7" i="13" s="1"/>
  <c r="I16" i="13"/>
  <c r="H14" i="13"/>
  <c r="J14" i="13" s="1"/>
  <c r="I7" i="13"/>
  <c r="I18" i="13"/>
  <c r="I10" i="13"/>
  <c r="I12" i="13"/>
  <c r="I15" i="13"/>
  <c r="I11" i="13"/>
  <c r="I6" i="13"/>
  <c r="F8" i="17"/>
  <c r="T1" i="14"/>
  <c r="B7" i="14"/>
  <c r="E16" i="14" s="1"/>
  <c r="S1" i="14"/>
  <c r="A2" i="18"/>
  <c r="B2" i="18" s="1"/>
  <c r="B1" i="8"/>
  <c r="L2" i="10" l="1"/>
  <c r="H3" i="13"/>
  <c r="L10" i="10"/>
  <c r="H13" i="13"/>
  <c r="J13" i="13" s="1"/>
  <c r="F9" i="17"/>
  <c r="H5" i="13"/>
  <c r="I5" i="13" s="1"/>
  <c r="H4" i="13"/>
  <c r="I4" i="13" s="1"/>
  <c r="K6" i="14"/>
  <c r="L6" i="14" s="1"/>
  <c r="M6" i="14" s="1"/>
  <c r="N6" i="14" s="1"/>
  <c r="O6" i="14" s="1"/>
  <c r="P6" i="14" s="1"/>
  <c r="Q6" i="14" s="1"/>
  <c r="K7" i="14" s="1"/>
  <c r="L7" i="14" s="1"/>
  <c r="M7" i="14" s="1"/>
  <c r="N7" i="14" s="1"/>
  <c r="O7" i="14" s="1"/>
  <c r="P7" i="14" s="1"/>
  <c r="Q7" i="14" s="1"/>
  <c r="K8" i="14" s="1"/>
  <c r="L8" i="14" s="1"/>
  <c r="M8" i="14" s="1"/>
  <c r="N8" i="14" s="1"/>
  <c r="O8" i="14" s="1"/>
  <c r="P8" i="14" s="1"/>
  <c r="Q8" i="14" s="1"/>
  <c r="K9" i="14" s="1"/>
  <c r="L9" i="14" s="1"/>
  <c r="M9" i="14" s="1"/>
  <c r="N9" i="14" s="1"/>
  <c r="O9" i="14" s="1"/>
  <c r="P9" i="14" s="1"/>
  <c r="Q9" i="14" s="1"/>
  <c r="K10" i="14" s="1"/>
  <c r="L10" i="14" s="1"/>
  <c r="M10" i="14" s="1"/>
  <c r="N10" i="14" s="1"/>
  <c r="O10" i="14" s="1"/>
  <c r="P10" i="14" s="1"/>
  <c r="Q10" i="14" s="1"/>
  <c r="K11" i="14" s="1"/>
  <c r="L11" i="14" s="1"/>
  <c r="M11" i="14" s="1"/>
  <c r="N11" i="14" s="1"/>
  <c r="O11" i="14" s="1"/>
  <c r="P11" i="14" s="1"/>
  <c r="Q11" i="14" s="1"/>
  <c r="E13" i="14"/>
  <c r="E4" i="14"/>
  <c r="E12" i="14"/>
  <c r="E23" i="14"/>
  <c r="E11" i="14"/>
  <c r="E15" i="14"/>
  <c r="E14" i="14"/>
  <c r="E22" i="14"/>
  <c r="E10" i="14"/>
  <c r="E21" i="14"/>
  <c r="E20" i="14"/>
  <c r="E8" i="14"/>
  <c r="E19" i="14"/>
  <c r="E7" i="14"/>
  <c r="E9" i="14"/>
  <c r="E18" i="14"/>
  <c r="E6" i="14"/>
  <c r="E17" i="14"/>
  <c r="E5" i="14"/>
  <c r="D7" i="18"/>
  <c r="E7" i="18" s="1"/>
  <c r="F7" i="18" s="1"/>
  <c r="G7" i="18" s="1"/>
  <c r="H7" i="18" s="1"/>
  <c r="I7" i="18" s="1"/>
  <c r="J7" i="18" s="1"/>
  <c r="D8" i="18" s="1"/>
  <c r="E8" i="18" s="1"/>
  <c r="F8" i="18" s="1"/>
  <c r="G8" i="18" s="1"/>
  <c r="H8" i="18" s="1"/>
  <c r="I8" i="18" s="1"/>
  <c r="J8" i="18" s="1"/>
  <c r="D9" i="18" s="1"/>
  <c r="E9" i="18" s="1"/>
  <c r="F9" i="18" s="1"/>
  <c r="G9" i="18" s="1"/>
  <c r="H9" i="18" s="1"/>
  <c r="I9" i="18" s="1"/>
  <c r="J9" i="18" s="1"/>
  <c r="I3" i="13" l="1"/>
  <c r="J3" i="13"/>
  <c r="J5" i="13"/>
  <c r="J4" i="13"/>
  <c r="F10" i="17"/>
  <c r="N16" i="17" s="1"/>
  <c r="D10" i="18"/>
  <c r="E10" i="18" s="1"/>
  <c r="F10" i="18" s="1"/>
  <c r="G10" i="18" s="1"/>
  <c r="H10" i="18" s="1"/>
  <c r="I10" i="18" s="1"/>
  <c r="J10" i="18" s="1"/>
  <c r="D11" i="18" l="1"/>
  <c r="E11" i="18" s="1"/>
  <c r="F11" i="18" s="1"/>
  <c r="G11" i="18" s="1"/>
  <c r="H11" i="18" s="1"/>
  <c r="I11" i="18" s="1"/>
  <c r="J11" i="18" s="1"/>
  <c r="D12" i="18" l="1"/>
  <c r="E12" i="18" s="1"/>
  <c r="F12" i="18" s="1"/>
  <c r="G12" i="18" s="1"/>
  <c r="H12" i="18" s="1"/>
  <c r="I12" i="18" s="1"/>
  <c r="J12" i="18" s="1"/>
</calcChain>
</file>

<file path=xl/sharedStrings.xml><?xml version="1.0" encoding="utf-8"?>
<sst xmlns="http://schemas.openxmlformats.org/spreadsheetml/2006/main" count="726" uniqueCount="181">
  <si>
    <t>Empleado</t>
  </si>
  <si>
    <t>Salario</t>
  </si>
  <si>
    <t>Ana</t>
  </si>
  <si>
    <t>Luis</t>
  </si>
  <si>
    <t>Fecha</t>
  </si>
  <si>
    <t>TipoRegistro</t>
  </si>
  <si>
    <t>Observaciones</t>
  </si>
  <si>
    <t>Tipos</t>
  </si>
  <si>
    <t>Asistencia</t>
  </si>
  <si>
    <t>Incapacidad</t>
  </si>
  <si>
    <t>Vacaciones</t>
  </si>
  <si>
    <t>Maria</t>
  </si>
  <si>
    <t>Hernesto</t>
  </si>
  <si>
    <t>Javier</t>
  </si>
  <si>
    <t>Ingrid</t>
  </si>
  <si>
    <t>Mariela</t>
  </si>
  <si>
    <t>Julio</t>
  </si>
  <si>
    <t>Benito</t>
  </si>
  <si>
    <t>Marisela</t>
  </si>
  <si>
    <t>Amy</t>
  </si>
  <si>
    <t>Dayana</t>
  </si>
  <si>
    <t>Angela</t>
  </si>
  <si>
    <t>Temperance</t>
  </si>
  <si>
    <t>Seely</t>
  </si>
  <si>
    <t>Enrrique</t>
  </si>
  <si>
    <t>Mauricio</t>
  </si>
  <si>
    <t>Valeria</t>
  </si>
  <si>
    <t>Maria Jose</t>
  </si>
  <si>
    <t>Codigo</t>
  </si>
  <si>
    <t>ID</t>
  </si>
  <si>
    <t>Puesto</t>
  </si>
  <si>
    <t>Fecha ingreso</t>
  </si>
  <si>
    <t>Jornada</t>
  </si>
  <si>
    <t>Asistente</t>
  </si>
  <si>
    <t>Tecnico Operaciones</t>
  </si>
  <si>
    <t>Auxiliar</t>
  </si>
  <si>
    <t>Coordinadora</t>
  </si>
  <si>
    <t>Gerente</t>
  </si>
  <si>
    <t>Marketing</t>
  </si>
  <si>
    <t>Chofer</t>
  </si>
  <si>
    <t>6x1</t>
  </si>
  <si>
    <t>Dias</t>
  </si>
  <si>
    <t>1 Turno Normal</t>
  </si>
  <si>
    <t>2 Viaje</t>
  </si>
  <si>
    <t>Libre</t>
  </si>
  <si>
    <t>3  Feriado</t>
  </si>
  <si>
    <t>5 INS</t>
  </si>
  <si>
    <t>4 Libre Solicitado</t>
  </si>
  <si>
    <t>Meses trabajados</t>
  </si>
  <si>
    <t>Vacaciones acumuladas</t>
  </si>
  <si>
    <t>Vacaciones tomadas</t>
  </si>
  <si>
    <t>Vacaciones Tomadas de Años Anteriores</t>
  </si>
  <si>
    <t>Años Trabajados</t>
  </si>
  <si>
    <t>Mabelyn</t>
  </si>
  <si>
    <t>Soporte IT</t>
  </si>
  <si>
    <t>Apellido1</t>
  </si>
  <si>
    <t>Apellido2</t>
  </si>
  <si>
    <t>Nombre1</t>
  </si>
  <si>
    <t>Nombre2</t>
  </si>
  <si>
    <t>Cedula</t>
  </si>
  <si>
    <t>Lelandra</t>
  </si>
  <si>
    <t>Ruiz</t>
  </si>
  <si>
    <t>Alvarado</t>
  </si>
  <si>
    <t>Fecha inicio</t>
  </si>
  <si>
    <t>Fecha fin</t>
  </si>
  <si>
    <t>Días solicitados</t>
  </si>
  <si>
    <t>Estado</t>
  </si>
  <si>
    <t>Observación</t>
  </si>
  <si>
    <t>Rechazado</t>
  </si>
  <si>
    <t>Aprobado</t>
  </si>
  <si>
    <t>Pendiente</t>
  </si>
  <si>
    <t>Tipo</t>
  </si>
  <si>
    <t>Saldo Actual de Vacaciones</t>
  </si>
  <si>
    <t>Validación</t>
  </si>
  <si>
    <t>Dias Restantes</t>
  </si>
  <si>
    <t>FECHA ACTUAL</t>
  </si>
  <si>
    <t>Teletrabajo</t>
  </si>
  <si>
    <t>TABLA DIARIA</t>
  </si>
  <si>
    <t>Registro Mensual</t>
  </si>
  <si>
    <t>Suma de Dias</t>
  </si>
  <si>
    <t>(Todas)</t>
  </si>
  <si>
    <t>Etiquetas de fila</t>
  </si>
  <si>
    <t>Total general</t>
  </si>
  <si>
    <t>3 Feriado / Libre</t>
  </si>
  <si>
    <t>Feriados 2026 Destacados (Pago Obligatorio):</t>
  </si>
  <si>
    <t>Feriados de Pago No Obligatorio (2026):</t>
  </si>
  <si>
    <t>Año Nuevo (Jueves)</t>
  </si>
  <si>
    <t>Jueves y Viernes Santo</t>
  </si>
  <si>
    <t>Día de Juan Santamaría (Sábado)</t>
  </si>
  <si>
    <t>Día del Trabajador (Viernes)</t>
  </si>
  <si>
    <t>Anexión del Partido de Nicoya (Sábado)</t>
  </si>
  <si>
    <t>Día de la Madre (Sábado)</t>
  </si>
  <si>
    <t>Día de la Independencia (Martes)</t>
  </si>
  <si>
    <t>Navidad (Viernes) </t>
  </si>
  <si>
    <t>Día de la Virgen de los Ángeles (Domingo)</t>
  </si>
  <si>
    <t>Día de la Persona Negra y la Cultura Afrocostarricense (Lunes)</t>
  </si>
  <si>
    <t>Día de la Abolición del Ejército (Martes) </t>
  </si>
  <si>
    <t>Lunes</t>
  </si>
  <si>
    <t>Martes</t>
  </si>
  <si>
    <t>Miercoles</t>
  </si>
  <si>
    <t>Jueves</t>
  </si>
  <si>
    <t>Viernes</t>
  </si>
  <si>
    <t>Sabado</t>
  </si>
  <si>
    <t>Domingo</t>
  </si>
  <si>
    <t>Año</t>
  </si>
  <si>
    <t>Mes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</si>
  <si>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</si>
  <si>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</si>
  <si>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</si>
  <si>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</si>
  <si>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</si>
  <si>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</si>
  <si>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</si>
  <si>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</si>
  <si>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</si>
  <si>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Noviembre</t>
  </si>
  <si>
    <t>Diciembre</t>
  </si>
  <si>
    <t>Cumpleaños</t>
  </si>
  <si>
    <t>Eventos</t>
  </si>
  <si>
    <t>Saldo1</t>
  </si>
  <si>
    <t>Solicitud</t>
  </si>
  <si>
    <t>Estatus</t>
  </si>
  <si>
    <t>Restantes</t>
  </si>
  <si>
    <t>Nombres</t>
  </si>
  <si>
    <t>ojo</t>
  </si>
  <si>
    <t>Vacaciones de Meses Acumulados</t>
  </si>
  <si>
    <t>REPORTE DE VACACIONES</t>
  </si>
  <si>
    <t>COMO SE CONFORMA UN SALARIO BRUTO</t>
  </si>
  <si>
    <t xml:space="preserve">Nombre </t>
  </si>
  <si>
    <t xml:space="preserve">No. De Cédula </t>
  </si>
  <si>
    <t>TIPO PLANILLA</t>
  </si>
  <si>
    <t>SALARIO BASE</t>
  </si>
  <si>
    <t>HORAS EXTRA</t>
  </si>
  <si>
    <t>PAGO HORAS EXTRA</t>
  </si>
  <si>
    <t>DIAS FERIADOS</t>
  </si>
  <si>
    <t>INCA-CCSS</t>
  </si>
  <si>
    <t>INCA- INS</t>
  </si>
  <si>
    <t xml:space="preserve">Salario Bruto </t>
  </si>
  <si>
    <t>Total</t>
  </si>
  <si>
    <t>Patronal ccss</t>
  </si>
  <si>
    <t>Obrara ccss</t>
  </si>
  <si>
    <t>Aguinaldo</t>
  </si>
  <si>
    <t xml:space="preserve">Salario Neto </t>
  </si>
  <si>
    <t>MENSUAL</t>
  </si>
  <si>
    <t>SABADOS</t>
  </si>
  <si>
    <t>DIAS LABORADOS</t>
  </si>
  <si>
    <t>CCSS</t>
  </si>
  <si>
    <t>DEDUCCION</t>
  </si>
  <si>
    <t>HORAS LABORADAS</t>
  </si>
  <si>
    <t>SOLO APLICA 1 VEZ AL MES</t>
  </si>
  <si>
    <t>PATRON PAGA 60%</t>
  </si>
  <si>
    <t>6 DIAS</t>
  </si>
  <si>
    <t>SALARIO HORA DIARIO</t>
  </si>
  <si>
    <t>8 HORAS</t>
  </si>
  <si>
    <t>CANT HR-EX</t>
  </si>
  <si>
    <t>INS</t>
  </si>
  <si>
    <t>SALARIO HORA ORDINARIO</t>
  </si>
  <si>
    <t>1 HORA</t>
  </si>
  <si>
    <t>ISR</t>
  </si>
  <si>
    <t>MONTO RENTA NETA</t>
  </si>
  <si>
    <t>TARIFA</t>
  </si>
  <si>
    <t>SALARIO X HORA EXTRA</t>
  </si>
  <si>
    <t>ORDINARIO 1,5</t>
  </si>
  <si>
    <t>INGRESO BRUTO</t>
  </si>
  <si>
    <t>HASTA 817 001</t>
  </si>
  <si>
    <t>NO SUJETO</t>
  </si>
  <si>
    <t>HASTA 817 000</t>
  </si>
  <si>
    <t>817 000 SOBRE EL EXCESO 1,199 000</t>
  </si>
  <si>
    <t>SEMANAL</t>
  </si>
  <si>
    <t>817000 SOBRE EL EXCESO 1,226 000</t>
  </si>
  <si>
    <t>1,199 000 SOBRE EL EXCESO 2,103 000</t>
  </si>
  <si>
    <t>2 VECES AL MES</t>
  </si>
  <si>
    <t>1,226 000 SOBRE EL EXCESO</t>
  </si>
  <si>
    <t>SALARIO BASE MES</t>
  </si>
  <si>
    <t>2,103 000 SOBRE EL EXCESO 4,205 000</t>
  </si>
  <si>
    <t>SALARIO BASE SEMANAL</t>
  </si>
  <si>
    <t>SOBRE EL EXCESO 4,205 000</t>
  </si>
  <si>
    <t>dia libre</t>
  </si>
  <si>
    <t>8h</t>
  </si>
  <si>
    <t>Quincenal</t>
  </si>
  <si>
    <t>Depto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</si>
</sst>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₡&quot;* #,##0.00_-;\-&quot;₡&quot;* #,##0.00_-;_-&quot;₡&quot;* &quot;-&quot;??_-;_-@_-"/>
    <numFmt numFmtId="164" formatCode="_(&quot;₡&quot;* #,##0.00_);_(&quot;₡&quot;* \(#,##0.00\);_(&quot;₡&quot;* &quot;-&quot;??_);_(@_)"/>
    <numFmt numFmtId="165" formatCode="_(* #,##0.00_);_(* \(#,##0.00\);_(* &quot;-&quot;??_);_(@_)"/>
    <numFmt numFmtId="166" formatCode="[$-F800]dddd\,\ mmmm\ dd\,\ yyyy"/>
    <numFmt numFmtId="167" formatCode="d"/>
    <numFmt numFmtId="169" formatCode="_-&quot;₡&quot;* #,##0.000_-;\-&quot;₡&quot;* #,##0.000_-;_-&quot;₡&quot;* &quot;-&quot;??_-;_-@_-"/>
    <numFmt numFmtId="170" formatCode="_-&quot;₡&quot;* #,##0.000_-;\-&quot;₡&quot;* #,##0.000_-;_-&quot;₡&quot;* &quot;-&quot;???_-;_-@_-"/>
    <numFmt numFmtId="171" formatCode="_-&quot;₡&quot;* #,##0_-;\-&quot;₡&quot;* #,##0_-;_-&quot;₡&quot;* &quot;-&quot;??_-;_-@_-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omic Sans MS"/>
      <family val="4"/>
    </font>
    <font>
      <sz val="16"/>
      <color theme="1"/>
      <name val="Comic Sans MS"/>
      <family val="4"/>
    </font>
    <font>
      <sz val="16"/>
      <color rgb="FFFF0000"/>
      <name val="Comic Sans MS"/>
      <family val="4"/>
    </font>
    <font>
      <sz val="8"/>
      <color theme="1"/>
      <name val="Comic Sans MS"/>
      <family val="4"/>
    </font>
    <font>
      <sz val="11"/>
      <color rgb="FFFF0000"/>
      <name val="Comic Sans MS"/>
      <family val="4"/>
    </font>
    <font>
      <sz val="11"/>
      <name val="Calibri"/>
      <family val="2"/>
      <scheme val="minor"/>
    </font>
    <font>
      <u/>
      <sz val="14"/>
      <name val="Calibri"/>
      <family val="2"/>
      <scheme val="minor"/>
    </font>
    <font>
      <u/>
      <sz val="14"/>
      <color theme="8"/>
      <name val="Calibri"/>
      <family val="2"/>
      <scheme val="minor"/>
    </font>
    <font>
      <sz val="12"/>
      <color rgb="FF000000"/>
      <name val="Comic Sans MS"/>
      <family val="4"/>
    </font>
    <font>
      <sz val="14"/>
      <color theme="1"/>
      <name val="Calibri"/>
      <family val="2"/>
      <scheme val="minor"/>
    </font>
    <font>
      <sz val="22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theme="9" tint="-0.249977111117893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9.9978637043366805E-2"/>
        <bgColor theme="9" tint="-0.249977111117893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9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/>
    <xf numFmtId="14" fontId="0" fillId="0" borderId="0" xfId="0" applyNumberFormat="1" applyFill="1"/>
    <xf numFmtId="0" fontId="0" fillId="0" borderId="1" xfId="0" applyFill="1" applyBorder="1"/>
    <xf numFmtId="0" fontId="0" fillId="0" borderId="0" xfId="0" applyFill="1" applyAlignment="1">
      <alignment wrapText="1"/>
    </xf>
    <xf numFmtId="0" fontId="0" fillId="0" borderId="0" xfId="0" applyFont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0" borderId="0" xfId="0" applyFont="1"/>
    <xf numFmtId="0" fontId="11" fillId="0" borderId="0" xfId="0" applyFont="1"/>
    <xf numFmtId="0" fontId="12" fillId="0" borderId="1" xfId="0" applyFont="1" applyBorder="1"/>
    <xf numFmtId="0" fontId="12" fillId="0" borderId="0" xfId="0" applyFont="1"/>
    <xf numFmtId="0" fontId="11" fillId="0" borderId="1" xfId="0" applyFont="1" applyBorder="1" applyAlignment="1">
      <alignment horizontal="center" vertical="center"/>
    </xf>
    <xf numFmtId="167" fontId="11" fillId="0" borderId="1" xfId="0" applyNumberFormat="1" applyFont="1" applyBorder="1"/>
    <xf numFmtId="167" fontId="15" fillId="0" borderId="1" xfId="0" applyNumberFormat="1" applyFont="1" applyBorder="1"/>
    <xf numFmtId="14" fontId="14" fillId="4" borderId="0" xfId="0" applyNumberFormat="1" applyFont="1" applyFill="1"/>
    <xf numFmtId="0" fontId="14" fillId="4" borderId="0" xfId="0" applyFont="1" applyFill="1"/>
    <xf numFmtId="0" fontId="0" fillId="4" borderId="0" xfId="0" applyFill="1"/>
    <xf numFmtId="14" fontId="14" fillId="4" borderId="0" xfId="0" applyNumberFormat="1" applyFont="1" applyFill="1" applyAlignment="1">
      <alignment horizontal="center"/>
    </xf>
    <xf numFmtId="0" fontId="11" fillId="4" borderId="1" xfId="0" applyFont="1" applyFill="1" applyBorder="1" applyAlignment="1">
      <alignment horizontal="center" vertical="center"/>
    </xf>
    <xf numFmtId="0" fontId="10" fillId="0" borderId="0" xfId="0" applyFont="1"/>
    <xf numFmtId="0" fontId="0" fillId="4" borderId="6" xfId="0" applyFill="1" applyBorder="1" applyAlignment="1">
      <alignment horizontal="center" vertical="center"/>
    </xf>
    <xf numFmtId="14" fontId="0" fillId="4" borderId="10" xfId="0" applyNumberFormat="1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14" fontId="0" fillId="4" borderId="7" xfId="0" applyNumberForma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4" fontId="0" fillId="4" borderId="8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4" fontId="0" fillId="4" borderId="4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/>
    </xf>
    <xf numFmtId="0" fontId="12" fillId="4" borderId="1" xfId="0" applyFont="1" applyFill="1" applyBorder="1"/>
    <xf numFmtId="0" fontId="12" fillId="4" borderId="1" xfId="0" applyFont="1" applyFill="1" applyBorder="1" applyAlignment="1">
      <alignment horizontal="center" vertical="center"/>
    </xf>
    <xf numFmtId="167" fontId="12" fillId="0" borderId="1" xfId="0" applyNumberFormat="1" applyFont="1" applyBorder="1" applyAlignment="1">
      <alignment horizontal="center" vertical="center"/>
    </xf>
    <xf numFmtId="167" fontId="13" fillId="0" borderId="1" xfId="0" applyNumberFormat="1" applyFont="1" applyBorder="1" applyAlignment="1">
      <alignment horizontal="center" vertical="center"/>
    </xf>
    <xf numFmtId="0" fontId="0" fillId="5" borderId="1" xfId="0" applyFill="1" applyBorder="1"/>
    <xf numFmtId="0" fontId="16" fillId="6" borderId="1" xfId="0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/>
    </xf>
    <xf numFmtId="0" fontId="16" fillId="8" borderId="1" xfId="0" applyFont="1" applyFill="1" applyBorder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0" borderId="0" xfId="0" applyFont="1" applyFill="1"/>
    <xf numFmtId="14" fontId="18" fillId="9" borderId="8" xfId="0" applyNumberFormat="1" applyFont="1" applyFill="1" applyBorder="1" applyAlignment="1">
      <alignment horizontal="center" vertical="center"/>
    </xf>
    <xf numFmtId="0" fontId="0" fillId="0" borderId="0" xfId="0" applyNumberFormat="1"/>
    <xf numFmtId="0" fontId="9" fillId="10" borderId="0" xfId="0" applyFont="1" applyFill="1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21" fillId="7" borderId="0" xfId="0" applyFont="1" applyFill="1" applyAlignment="1"/>
    <xf numFmtId="0" fontId="21" fillId="11" borderId="1" xfId="0" applyFont="1" applyFill="1" applyBorder="1" applyAlignment="1">
      <alignment horizontal="center" vertical="center"/>
    </xf>
    <xf numFmtId="1" fontId="21" fillId="11" borderId="1" xfId="0" applyNumberFormat="1" applyFont="1" applyFill="1" applyBorder="1" applyAlignment="1">
      <alignment horizontal="center" vertical="center"/>
    </xf>
    <xf numFmtId="0" fontId="21" fillId="6" borderId="1" xfId="0" applyFont="1" applyFill="1" applyBorder="1" applyAlignment="1" applyProtection="1">
      <alignment horizontal="center" vertical="center"/>
      <protection locked="0"/>
    </xf>
    <xf numFmtId="14" fontId="21" fillId="11" borderId="1" xfId="0" applyNumberFormat="1" applyFont="1" applyFill="1" applyBorder="1" applyAlignment="1" applyProtection="1">
      <alignment horizontal="center" vertical="center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0" fontId="16" fillId="11" borderId="1" xfId="0" applyFont="1" applyFill="1" applyBorder="1" applyAlignment="1">
      <alignment horizontal="center" vertical="center"/>
    </xf>
    <xf numFmtId="14" fontId="16" fillId="11" borderId="1" xfId="0" applyNumberFormat="1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>
      <alignment horizontal="center" vertical="center" wrapText="1"/>
    </xf>
    <xf numFmtId="14" fontId="16" fillId="11" borderId="1" xfId="0" applyNumberFormat="1" applyFont="1" applyFill="1" applyBorder="1" applyAlignment="1">
      <alignment horizontal="center" vertical="center"/>
    </xf>
    <xf numFmtId="0" fontId="17" fillId="11" borderId="1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/>
    </xf>
    <xf numFmtId="14" fontId="0" fillId="11" borderId="1" xfId="0" applyNumberFormat="1" applyFill="1" applyBorder="1" applyAlignment="1">
      <alignment horizontal="center"/>
    </xf>
    <xf numFmtId="0" fontId="0" fillId="11" borderId="1" xfId="0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 vertical="center"/>
    </xf>
    <xf numFmtId="1" fontId="17" fillId="11" borderId="1" xfId="0" applyNumberFormat="1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0" fillId="11" borderId="0" xfId="0" applyFont="1" applyFill="1" applyBorder="1" applyAlignment="1">
      <alignment horizontal="center"/>
    </xf>
    <xf numFmtId="0" fontId="0" fillId="11" borderId="1" xfId="0" applyFont="1" applyFill="1" applyBorder="1" applyAlignment="1" applyProtection="1">
      <alignment horizontal="center"/>
      <protection locked="0"/>
    </xf>
    <xf numFmtId="0" fontId="0" fillId="11" borderId="1" xfId="0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/>
      <protection locked="0"/>
    </xf>
    <xf numFmtId="14" fontId="0" fillId="11" borderId="1" xfId="0" applyNumberFormat="1" applyFill="1" applyBorder="1"/>
    <xf numFmtId="0" fontId="0" fillId="11" borderId="1" xfId="0" applyFill="1" applyBorder="1"/>
    <xf numFmtId="0" fontId="2" fillId="12" borderId="1" xfId="0" applyFont="1" applyFill="1" applyBorder="1" applyAlignment="1">
      <alignment horizontal="center" vertical="center"/>
    </xf>
    <xf numFmtId="14" fontId="2" fillId="12" borderId="1" xfId="0" applyNumberFormat="1" applyFont="1" applyFill="1" applyBorder="1" applyAlignment="1">
      <alignment horizontal="center" vertical="center"/>
    </xf>
    <xf numFmtId="164" fontId="2" fillId="12" borderId="1" xfId="1" applyFont="1" applyFill="1" applyBorder="1" applyAlignment="1">
      <alignment horizontal="center" vertical="center"/>
    </xf>
    <xf numFmtId="0" fontId="16" fillId="0" borderId="0" xfId="0" applyFont="1"/>
    <xf numFmtId="14" fontId="16" fillId="0" borderId="0" xfId="0" applyNumberFormat="1" applyFont="1"/>
    <xf numFmtId="164" fontId="16" fillId="0" borderId="0" xfId="1" applyFont="1"/>
    <xf numFmtId="0" fontId="20" fillId="0" borderId="0" xfId="0" applyFont="1" applyFill="1"/>
    <xf numFmtId="0" fontId="20" fillId="0" borderId="1" xfId="0" applyFont="1" applyFill="1" applyBorder="1"/>
    <xf numFmtId="0" fontId="20" fillId="0" borderId="1" xfId="0" applyFont="1" applyFill="1" applyBorder="1" applyAlignment="1">
      <alignment horizontal="left"/>
    </xf>
    <xf numFmtId="0" fontId="20" fillId="0" borderId="1" xfId="0" applyNumberFormat="1" applyFont="1" applyFill="1" applyBorder="1"/>
    <xf numFmtId="0" fontId="22" fillId="0" borderId="1" xfId="0" applyFont="1" applyFill="1" applyBorder="1"/>
    <xf numFmtId="0" fontId="0" fillId="0" borderId="11" xfId="0" applyBorder="1"/>
    <xf numFmtId="14" fontId="9" fillId="10" borderId="0" xfId="0" applyNumberFormat="1" applyFont="1" applyFill="1" applyAlignment="1">
      <alignment wrapText="1"/>
    </xf>
    <xf numFmtId="14" fontId="0" fillId="0" borderId="11" xfId="0" applyNumberFormat="1" applyBorder="1"/>
    <xf numFmtId="1" fontId="16" fillId="11" borderId="1" xfId="2" applyNumberFormat="1" applyFont="1" applyFill="1" applyBorder="1" applyAlignment="1">
      <alignment horizontal="center" vertical="center"/>
    </xf>
    <xf numFmtId="1" fontId="9" fillId="10" borderId="0" xfId="0" applyNumberFormat="1" applyFont="1" applyFill="1" applyAlignment="1">
      <alignment wrapText="1"/>
    </xf>
    <xf numFmtId="1" fontId="0" fillId="0" borderId="11" xfId="2" applyNumberFormat="1" applyFont="1" applyBorder="1"/>
    <xf numFmtId="1" fontId="0" fillId="0" borderId="0" xfId="0" applyNumberFormat="1" applyFill="1"/>
    <xf numFmtId="1" fontId="0" fillId="0" borderId="11" xfId="0" applyNumberFormat="1" applyBorder="1"/>
    <xf numFmtId="0" fontId="0" fillId="13" borderId="1" xfId="0" applyFill="1" applyBorder="1" applyAlignment="1">
      <alignment vertical="center"/>
    </xf>
    <xf numFmtId="0" fontId="0" fillId="13" borderId="1" xfId="0" applyFill="1" applyBorder="1" applyAlignment="1">
      <alignment vertical="center" wrapText="1"/>
    </xf>
    <xf numFmtId="0" fontId="0" fillId="14" borderId="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15" borderId="11" xfId="0" applyFill="1" applyBorder="1"/>
    <xf numFmtId="14" fontId="0" fillId="15" borderId="11" xfId="0" applyNumberFormat="1" applyFill="1" applyBorder="1"/>
    <xf numFmtId="1" fontId="0" fillId="15" borderId="11" xfId="2" applyNumberFormat="1" applyFont="1" applyFill="1" applyBorder="1"/>
    <xf numFmtId="1" fontId="0" fillId="15" borderId="11" xfId="0" applyNumberFormat="1" applyFill="1" applyBorder="1"/>
    <xf numFmtId="0" fontId="0" fillId="15" borderId="0" xfId="0" applyFill="1"/>
    <xf numFmtId="14" fontId="3" fillId="5" borderId="1" xfId="0" applyNumberFormat="1" applyFont="1" applyFill="1" applyBorder="1" applyAlignment="1">
      <alignment horizontal="center" vertical="center"/>
    </xf>
    <xf numFmtId="166" fontId="7" fillId="11" borderId="7" xfId="0" applyNumberFormat="1" applyFont="1" applyFill="1" applyBorder="1" applyAlignment="1">
      <alignment horizontal="center" vertical="center" wrapText="1"/>
    </xf>
    <xf numFmtId="166" fontId="7" fillId="11" borderId="5" xfId="0" applyNumberFormat="1" applyFont="1" applyFill="1" applyBorder="1" applyAlignment="1">
      <alignment horizontal="center" vertical="center" wrapText="1"/>
    </xf>
    <xf numFmtId="166" fontId="7" fillId="11" borderId="4" xfId="0" applyNumberFormat="1" applyFont="1" applyFill="1" applyBorder="1" applyAlignment="1">
      <alignment horizontal="center" vertical="center" wrapText="1"/>
    </xf>
    <xf numFmtId="166" fontId="7" fillId="11" borderId="2" xfId="0" applyNumberFormat="1" applyFont="1" applyFill="1" applyBorder="1" applyAlignment="1">
      <alignment horizontal="center" vertical="center" wrapText="1"/>
    </xf>
    <xf numFmtId="14" fontId="6" fillId="4" borderId="1" xfId="0" applyNumberFormat="1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6" borderId="0" xfId="0" applyFont="1" applyFill="1" applyAlignment="1">
      <alignment horizontal="center" vertical="center" wrapText="1"/>
    </xf>
    <xf numFmtId="164" fontId="0" fillId="0" borderId="0" xfId="1" applyFont="1"/>
    <xf numFmtId="14" fontId="0" fillId="0" borderId="0" xfId="0" applyNumberFormat="1"/>
    <xf numFmtId="0" fontId="0" fillId="0" borderId="0" xfId="1" applyNumberFormat="1" applyFont="1" applyFill="1" applyAlignment="1">
      <alignment horizontal="center" vertical="center"/>
    </xf>
    <xf numFmtId="164" fontId="0" fillId="0" borderId="0" xfId="1" applyFont="1" applyAlignment="1">
      <alignment horizontal="center" wrapText="1"/>
    </xf>
    <xf numFmtId="164" fontId="0" fillId="0" borderId="0" xfId="1" applyFont="1" applyFill="1"/>
    <xf numFmtId="164" fontId="0" fillId="0" borderId="20" xfId="1" applyFont="1" applyBorder="1" applyAlignment="1">
      <alignment horizontal="center" wrapText="1"/>
    </xf>
    <xf numFmtId="9" fontId="0" fillId="0" borderId="0" xfId="1" applyNumberFormat="1" applyFont="1"/>
    <xf numFmtId="0" fontId="26" fillId="18" borderId="1" xfId="0" applyFont="1" applyFill="1" applyBorder="1" applyAlignment="1">
      <alignment horizontal="center"/>
    </xf>
    <xf numFmtId="164" fontId="26" fillId="18" borderId="1" xfId="1" applyFont="1" applyFill="1" applyBorder="1" applyAlignment="1">
      <alignment horizontal="center"/>
    </xf>
    <xf numFmtId="44" fontId="26" fillId="18" borderId="1" xfId="0" applyNumberFormat="1" applyFont="1" applyFill="1" applyBorder="1" applyAlignment="1">
      <alignment horizontal="center"/>
    </xf>
    <xf numFmtId="10" fontId="0" fillId="0" borderId="0" xfId="0" applyNumberFormat="1"/>
    <xf numFmtId="44" fontId="26" fillId="18" borderId="6" xfId="0" applyNumberFormat="1" applyFont="1" applyFill="1" applyBorder="1" applyAlignment="1">
      <alignment horizontal="center"/>
    </xf>
    <xf numFmtId="44" fontId="26" fillId="18" borderId="6" xfId="0" applyNumberFormat="1" applyFont="1" applyFill="1" applyBorder="1"/>
    <xf numFmtId="0" fontId="0" fillId="19" borderId="13" xfId="0" applyFill="1" applyBorder="1"/>
    <xf numFmtId="164" fontId="0" fillId="19" borderId="14" xfId="1" applyFont="1" applyFill="1" applyBorder="1"/>
    <xf numFmtId="0" fontId="0" fillId="19" borderId="15" xfId="0" applyFill="1" applyBorder="1"/>
    <xf numFmtId="0" fontId="0" fillId="19" borderId="0" xfId="0" applyFill="1"/>
    <xf numFmtId="164" fontId="0" fillId="19" borderId="16" xfId="1" applyFont="1" applyFill="1" applyBorder="1"/>
    <xf numFmtId="0" fontId="0" fillId="14" borderId="12" xfId="0" applyFill="1" applyBorder="1"/>
    <xf numFmtId="0" fontId="0" fillId="14" borderId="13" xfId="0" applyFill="1" applyBorder="1"/>
    <xf numFmtId="164" fontId="0" fillId="14" borderId="13" xfId="1" applyFont="1" applyFill="1" applyBorder="1"/>
    <xf numFmtId="164" fontId="0" fillId="14" borderId="14" xfId="1" applyFont="1" applyFill="1" applyBorder="1"/>
    <xf numFmtId="0" fontId="26" fillId="17" borderId="1" xfId="0" applyFont="1" applyFill="1" applyBorder="1" applyAlignment="1">
      <alignment horizontal="center" wrapText="1"/>
    </xf>
    <xf numFmtId="164" fontId="26" fillId="17" borderId="1" xfId="1" applyFont="1" applyFill="1" applyBorder="1" applyAlignment="1">
      <alignment horizontal="center" wrapText="1"/>
    </xf>
    <xf numFmtId="44" fontId="26" fillId="17" borderId="1" xfId="0" applyNumberFormat="1" applyFont="1" applyFill="1" applyBorder="1" applyAlignment="1">
      <alignment horizontal="center" wrapText="1"/>
    </xf>
    <xf numFmtId="0" fontId="26" fillId="17" borderId="22" xfId="0" applyFont="1" applyFill="1" applyBorder="1" applyAlignment="1">
      <alignment horizontal="center" wrapText="1"/>
    </xf>
    <xf numFmtId="0" fontId="8" fillId="16" borderId="0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164" fontId="0" fillId="0" borderId="1" xfId="1" applyFont="1" applyFill="1" applyBorder="1" applyAlignment="1">
      <alignment horizontal="center"/>
    </xf>
    <xf numFmtId="1" fontId="0" fillId="0" borderId="1" xfId="1" applyNumberFormat="1" applyFont="1" applyFill="1" applyBorder="1" applyAlignment="1">
      <alignment horizontal="center"/>
    </xf>
    <xf numFmtId="44" fontId="0" fillId="0" borderId="1" xfId="0" applyNumberFormat="1" applyFill="1" applyBorder="1"/>
    <xf numFmtId="0" fontId="0" fillId="0" borderId="15" xfId="0" applyFill="1" applyBorder="1"/>
    <xf numFmtId="164" fontId="0" fillId="0" borderId="16" xfId="1" applyFont="1" applyFill="1" applyBorder="1"/>
    <xf numFmtId="169" fontId="0" fillId="0" borderId="0" xfId="0" applyNumberFormat="1" applyFill="1"/>
    <xf numFmtId="170" fontId="0" fillId="0" borderId="0" xfId="0" applyNumberFormat="1" applyFill="1"/>
    <xf numFmtId="9" fontId="0" fillId="0" borderId="0" xfId="1" applyNumberFormat="1" applyFont="1" applyFill="1" applyBorder="1"/>
    <xf numFmtId="164" fontId="0" fillId="0" borderId="0" xfId="1" applyFont="1" applyFill="1" applyBorder="1"/>
    <xf numFmtId="171" fontId="0" fillId="0" borderId="16" xfId="1" applyNumberFormat="1" applyFont="1" applyFill="1" applyBorder="1"/>
    <xf numFmtId="0" fontId="0" fillId="0" borderId="17" xfId="0" applyFill="1" applyBorder="1"/>
    <xf numFmtId="0" fontId="0" fillId="0" borderId="18" xfId="0" applyFill="1" applyBorder="1"/>
    <xf numFmtId="164" fontId="0" fillId="0" borderId="18" xfId="1" applyFont="1" applyFill="1" applyBorder="1"/>
    <xf numFmtId="164" fontId="0" fillId="0" borderId="19" xfId="1" applyFont="1" applyFill="1" applyBorder="1"/>
    <xf numFmtId="0" fontId="0" fillId="0" borderId="0" xfId="1" applyNumberFormat="1" applyFont="1" applyFill="1" applyBorder="1"/>
    <xf numFmtId="0" fontId="0" fillId="0" borderId="12" xfId="0" applyFill="1" applyBorder="1"/>
    <xf numFmtId="0" fontId="0" fillId="0" borderId="13" xfId="0" applyFill="1" applyBorder="1"/>
    <xf numFmtId="169" fontId="0" fillId="0" borderId="13" xfId="0" applyNumberFormat="1" applyFill="1" applyBorder="1"/>
    <xf numFmtId="170" fontId="0" fillId="0" borderId="13" xfId="0" applyNumberFormat="1" applyFill="1" applyBorder="1"/>
    <xf numFmtId="9" fontId="0" fillId="0" borderId="13" xfId="1" applyNumberFormat="1" applyFont="1" applyFill="1" applyBorder="1"/>
    <xf numFmtId="164" fontId="0" fillId="0" borderId="14" xfId="1" applyFont="1" applyFill="1" applyBorder="1"/>
    <xf numFmtId="164" fontId="27" fillId="0" borderId="21" xfId="1" applyFont="1" applyFill="1" applyBorder="1"/>
    <xf numFmtId="0" fontId="0" fillId="0" borderId="14" xfId="0" applyFill="1" applyBorder="1"/>
    <xf numFmtId="44" fontId="0" fillId="0" borderId="18" xfId="0" applyNumberFormat="1" applyFill="1" applyBorder="1"/>
    <xf numFmtId="0" fontId="0" fillId="0" borderId="16" xfId="0" applyFill="1" applyBorder="1"/>
    <xf numFmtId="164" fontId="0" fillId="0" borderId="1" xfId="1" applyFont="1" applyFill="1" applyBorder="1"/>
    <xf numFmtId="164" fontId="0" fillId="0" borderId="0" xfId="1" applyFont="1" applyFill="1" applyAlignment="1">
      <alignment horizontal="center"/>
    </xf>
    <xf numFmtId="0" fontId="0" fillId="0" borderId="15" xfId="0" applyFill="1" applyBorder="1" applyAlignment="1">
      <alignment horizontal="center" vertical="center" wrapText="1"/>
    </xf>
    <xf numFmtId="9" fontId="0" fillId="0" borderId="16" xfId="0" applyNumberFormat="1" applyFill="1" applyBorder="1" applyAlignment="1">
      <alignment horizontal="center" vertical="center"/>
    </xf>
    <xf numFmtId="0" fontId="0" fillId="0" borderId="15" xfId="0" applyFill="1" applyBorder="1" applyAlignment="1">
      <alignment horizontal="center" wrapText="1"/>
    </xf>
    <xf numFmtId="9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7" xfId="0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/>
    </xf>
    <xf numFmtId="164" fontId="0" fillId="0" borderId="15" xfId="1" applyFont="1" applyFill="1" applyBorder="1" applyAlignment="1">
      <alignment horizontal="center" vertical="center" wrapText="1"/>
    </xf>
    <xf numFmtId="9" fontId="0" fillId="0" borderId="16" xfId="1" applyNumberFormat="1" applyFont="1" applyFill="1" applyBorder="1" applyAlignment="1">
      <alignment horizontal="center" vertical="center"/>
    </xf>
    <xf numFmtId="164" fontId="0" fillId="0" borderId="0" xfId="1" applyFont="1" applyFill="1" applyBorder="1" applyAlignment="1">
      <alignment horizontal="left" vertical="center"/>
    </xf>
    <xf numFmtId="44" fontId="0" fillId="0" borderId="0" xfId="0" applyNumberFormat="1" applyFill="1"/>
    <xf numFmtId="9" fontId="0" fillId="0" borderId="0" xfId="1" applyNumberFormat="1" applyFont="1" applyFill="1"/>
  </cellXfs>
  <cellStyles count="3">
    <cellStyle name="Millares" xfId="2" builtinId="3"/>
    <cellStyle name="Moneda" xfId="1" builtinId="4"/>
    <cellStyle name="Normal" xfId="0" builtinId="0"/>
  </cellStyles>
  <dxfs count="47"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  <fill>
        <patternFill>
          <bgColor theme="2" tint="-0.499984740745262"/>
        </patternFill>
      </fill>
    </dxf>
    <dxf>
      <font>
        <color theme="0" tint="-0.14996795556505021"/>
      </font>
      <fill>
        <patternFill>
          <bgColor theme="2" tint="-0.499984740745262"/>
        </patternFill>
      </fill>
    </dxf>
    <dxf>
      <font>
        <color theme="0" tint="-0.14996795556505021"/>
      </font>
      <fill>
        <patternFill>
          <bgColor theme="2" tint="-0.499984740745262"/>
        </patternFill>
      </fill>
    </dxf>
    <dxf>
      <font>
        <color theme="0" tint="-0.14996795556505021"/>
      </font>
      <fill>
        <patternFill>
          <bgColor theme="2" tint="-0.499984740745262"/>
        </patternFill>
      </fill>
    </dxf>
    <dxf>
      <font>
        <color rgb="FF0070C0"/>
      </font>
      <fill>
        <patternFill>
          <bgColor theme="9" tint="0.59996337778862885"/>
        </patternFill>
      </fill>
    </dxf>
    <dxf>
      <font>
        <color rgb="FF0070C0"/>
      </font>
      <fill>
        <patternFill>
          <bgColor theme="9" tint="0.59996337778862885"/>
        </patternFill>
      </fill>
    </dxf>
    <dxf>
      <font>
        <color rgb="FF0070C0"/>
      </font>
      <fill>
        <patternFill>
          <bgColor theme="9" tint="0.59996337778862885"/>
        </patternFill>
      </fill>
    </dxf>
    <dxf>
      <font>
        <sz val="10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8" formatCode="m/d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CR"/>
        </a:p>
      </c:txPr>
    </c:title>
    <c:autoTitleDeleted val="0"/>
    <c:plotArea>
      <c:layout/>
      <c:ofPieChart>
        <c:ofPieType val="bar"/>
        <c:varyColors val="1"/>
        <c:ser>
          <c:idx val="1"/>
          <c:order val="1"/>
          <c:tx>
            <c:strRef>
              <c:f>Reportes!$D$4</c:f>
              <c:strCache>
                <c:ptCount val="1"/>
                <c:pt idx="0">
                  <c:v>Vacaciones de Meses Acumulados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34E-4F55-967B-7531F9702DB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34E-4F55-967B-7531F9702DB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34E-4F55-967B-7531F9702DB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34E-4F55-967B-7531F9702DB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34E-4F55-967B-7531F9702DB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34E-4F55-967B-7531F9702DB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34E-4F55-967B-7531F9702DBF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34E-4F55-967B-7531F9702DBF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351-4120-BD4C-478AFA85BBCA}"/>
              </c:ext>
            </c:extLst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34E-4F55-967B-7531F9702DBF}"/>
              </c:ext>
            </c:extLst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34E-4F55-967B-7531F9702DBF}"/>
              </c:ext>
            </c:extLst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34E-4F55-967B-7531F9702DBF}"/>
              </c:ext>
            </c:extLst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134E-4F55-967B-7531F9702DBF}"/>
              </c:ext>
            </c:extLst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134E-4F55-967B-7531F9702DBF}"/>
              </c:ext>
            </c:extLst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134E-4F55-967B-7531F9702DBF}"/>
              </c:ext>
            </c:extLst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134E-4F55-967B-7531F9702DBF}"/>
              </c:ext>
            </c:extLst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134E-4F55-967B-7531F9702DBF}"/>
              </c:ext>
            </c:extLst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134E-4F55-967B-7531F9702DBF}"/>
              </c:ext>
            </c:extLst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134E-4F55-967B-7531F9702DBF}"/>
              </c:ext>
            </c:extLst>
          </c:dPt>
          <c:dPt>
            <c:idx val="19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134E-4F55-967B-7531F9702DBF}"/>
              </c:ext>
            </c:extLst>
          </c:dPt>
          <c:dPt>
            <c:idx val="20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134E-4F55-967B-7531F9702D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Reportes!$D$5:$D$24</c:f>
              <c:numCache>
                <c:formatCode>General</c:formatCode>
                <c:ptCount val="20"/>
                <c:pt idx="0">
                  <c:v>48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  <c:pt idx="4">
                  <c:v>36</c:v>
                </c:pt>
                <c:pt idx="5">
                  <c:v>60</c:v>
                </c:pt>
                <c:pt idx="6">
                  <c:v>48</c:v>
                </c:pt>
                <c:pt idx="7">
                  <c:v>24</c:v>
                </c:pt>
                <c:pt idx="8">
                  <c:v>12</c:v>
                </c:pt>
                <c:pt idx="9">
                  <c:v>12</c:v>
                </c:pt>
                <c:pt idx="10">
                  <c:v>36</c:v>
                </c:pt>
                <c:pt idx="11">
                  <c:v>24</c:v>
                </c:pt>
                <c:pt idx="12">
                  <c:v>24</c:v>
                </c:pt>
                <c:pt idx="13">
                  <c:v>24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36</c:v>
                </c:pt>
                <c:pt idx="18">
                  <c:v>24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51-4120-BD4C-478AFA85BB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>
          <c:spPr>
            <a:ln w="9525" cap="flat" cmpd="sng" algn="ctr">
              <a:solidFill>
                <a:schemeClr val="lt1">
                  <a:lumMod val="95000"/>
                  <a:alpha val="54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Reportes!$C$4</c15:sqref>
                        </c15:formulaRef>
                      </c:ext>
                    </c:extLst>
                    <c:strCache>
                      <c:ptCount val="1"/>
                      <c:pt idx="0">
                        <c:v>Empleado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B-134E-4F55-967B-7531F9702DB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D-134E-4F55-967B-7531F9702DB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2F-134E-4F55-967B-7531F9702DBF}"/>
                    </c:ext>
                  </c:extLst>
                </c:dPt>
                <c:dPt>
                  <c:idx val="3"/>
                  <c:bubble3D val="0"/>
                  <c:spPr>
                    <a:gradFill rotWithShape="1">
                      <a:gsLst>
                        <a:gs pos="0">
                          <a:schemeClr val="accent4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1-134E-4F55-967B-7531F9702DBF}"/>
                    </c:ext>
                  </c:extLst>
                </c:dPt>
                <c:dPt>
                  <c:idx val="4"/>
                  <c:bubble3D val="0"/>
                  <c:spPr>
                    <a:gradFill rotWithShape="1">
                      <a:gsLst>
                        <a:gs pos="0">
                          <a:schemeClr val="accent5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3-134E-4F55-967B-7531F9702DBF}"/>
                    </c:ext>
                  </c:extLst>
                </c:dPt>
                <c:dPt>
                  <c:idx val="5"/>
                  <c:bubble3D val="0"/>
                  <c:spPr>
                    <a:gradFill rotWithShape="1">
                      <a:gsLst>
                        <a:gs pos="0">
                          <a:schemeClr val="accent6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5-134E-4F55-967B-7531F9702DBF}"/>
                    </c:ext>
                  </c:extLst>
                </c:dPt>
                <c:dPt>
                  <c:idx val="6"/>
                  <c:bubble3D val="0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7-134E-4F55-967B-7531F9702DBF}"/>
                    </c:ext>
                  </c:extLst>
                </c:dPt>
                <c:dPt>
                  <c:idx val="7"/>
                  <c:bubble3D val="0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9-134E-4F55-967B-7531F9702DBF}"/>
                    </c:ext>
                  </c:extLst>
                </c:dPt>
                <c:dPt>
                  <c:idx val="8"/>
                  <c:bubble3D val="0"/>
                  <c:spPr>
                    <a:gradFill rotWithShape="1">
                      <a:gsLst>
                        <a:gs pos="0">
                          <a:schemeClr val="accent3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B-134E-4F55-967B-7531F9702DBF}"/>
                    </c:ext>
                  </c:extLst>
                </c:dPt>
                <c:dPt>
                  <c:idx val="9"/>
                  <c:bubble3D val="0"/>
                  <c:spPr>
                    <a:gradFill rotWithShape="1">
                      <a:gsLst>
                        <a:gs pos="0">
                          <a:schemeClr val="accent4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D-134E-4F55-967B-7531F9702DBF}"/>
                    </c:ext>
                  </c:extLst>
                </c:dPt>
                <c:dPt>
                  <c:idx val="10"/>
                  <c:bubble3D val="0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3F-134E-4F55-967B-7531F9702DBF}"/>
                    </c:ext>
                  </c:extLst>
                </c:dPt>
                <c:dPt>
                  <c:idx val="11"/>
                  <c:bubble3D val="0"/>
                  <c:spPr>
                    <a:gradFill rotWithShape="1">
                      <a:gsLst>
                        <a:gs pos="0">
                          <a:schemeClr val="accent6">
                            <a:lumMod val="6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lumMod val="6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6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1-134E-4F55-967B-7531F9702DBF}"/>
                    </c:ext>
                  </c:extLst>
                </c:dPt>
                <c:dPt>
                  <c:idx val="12"/>
                  <c:bubble3D val="0"/>
                  <c:spPr>
                    <a:gradFill rotWithShape="1">
                      <a:gsLst>
                        <a:gs pos="0">
                          <a:schemeClr val="accent1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3-134E-4F55-967B-7531F9702DBF}"/>
                    </c:ext>
                  </c:extLst>
                </c:dPt>
                <c:dPt>
                  <c:idx val="13"/>
                  <c:bubble3D val="0"/>
                  <c:spPr>
                    <a:gradFill rotWithShape="1">
                      <a:gsLst>
                        <a:gs pos="0">
                          <a:schemeClr val="accent2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5-134E-4F55-967B-7531F9702DBF}"/>
                    </c:ext>
                  </c:extLst>
                </c:dPt>
                <c:dPt>
                  <c:idx val="14"/>
                  <c:bubble3D val="0"/>
                  <c:spPr>
                    <a:gradFill rotWithShape="1">
                      <a:gsLst>
                        <a:gs pos="0">
                          <a:schemeClr val="accent3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7-134E-4F55-967B-7531F9702DBF}"/>
                    </c:ext>
                  </c:extLst>
                </c:dPt>
                <c:dPt>
                  <c:idx val="15"/>
                  <c:bubble3D val="0"/>
                  <c:spPr>
                    <a:gradFill rotWithShape="1">
                      <a:gsLst>
                        <a:gs pos="0">
                          <a:schemeClr val="accent4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4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4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9-134E-4F55-967B-7531F9702DBF}"/>
                    </c:ext>
                  </c:extLst>
                </c:dPt>
                <c:dPt>
                  <c:idx val="16"/>
                  <c:bubble3D val="0"/>
                  <c:spPr>
                    <a:gradFill rotWithShape="1">
                      <a:gsLst>
                        <a:gs pos="0">
                          <a:schemeClr val="accent5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5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5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B-134E-4F55-967B-7531F9702DBF}"/>
                    </c:ext>
                  </c:extLst>
                </c:dPt>
                <c:dPt>
                  <c:idx val="17"/>
                  <c:bubble3D val="0"/>
                  <c:spPr>
                    <a:gradFill rotWithShape="1">
                      <a:gsLst>
                        <a:gs pos="0">
                          <a:schemeClr val="accent6">
                            <a:lumMod val="80000"/>
                            <a:lumOff val="2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6">
                            <a:lumMod val="80000"/>
                            <a:lumOff val="2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6">
                            <a:lumMod val="80000"/>
                            <a:lumOff val="2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D-134E-4F55-967B-7531F9702DBF}"/>
                    </c:ext>
                  </c:extLst>
                </c:dPt>
                <c:dPt>
                  <c:idx val="18"/>
                  <c:bubble3D val="0"/>
                  <c:spPr>
                    <a:gradFill rotWithShape="1">
                      <a:gsLst>
                        <a:gs pos="0">
                          <a:schemeClr val="accent1">
                            <a:lumMod val="8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lumMod val="8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8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4F-134E-4F55-967B-7531F9702DBF}"/>
                    </c:ext>
                  </c:extLst>
                </c:dPt>
                <c:dPt>
                  <c:idx val="19"/>
                  <c:bubble3D val="0"/>
                  <c:spPr>
                    <a:gradFill rotWithShape="1">
                      <a:gsLst>
                        <a:gs pos="0">
                          <a:schemeClr val="accent2">
                            <a:lumMod val="8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lumMod val="8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8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1-134E-4F55-967B-7531F9702DBF}"/>
                    </c:ext>
                  </c:extLst>
                </c:dPt>
                <c:dPt>
                  <c:idx val="20"/>
                  <c:bubble3D val="0"/>
                  <c:spPr>
                    <a:gradFill rotWithShape="1">
                      <a:gsLst>
                        <a:gs pos="0">
                          <a:schemeClr val="accent3">
                            <a:lumMod val="80000"/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lumMod val="80000"/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80000"/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53-134E-4F55-967B-7531F9702DB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s-CR"/>
                    </a:p>
                  </c:txPr>
                  <c:dLblPos val="bestFi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val>
                  <c:numRef>
                    <c:extLst>
                      <c:ext uri="{02D57815-91ED-43cb-92C2-25804820EDAC}">
                        <c15:formulaRef>
                          <c15:sqref>Reportes!$C$5:$C$24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7351-4120-BD4C-478AFA85BBCA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C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C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414618</xdr:colOff>
      <xdr:row>27</xdr:row>
      <xdr:rowOff>145676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D556AF64-9507-DDA2-DDC2-93C76FEC976D}"/>
            </a:ext>
          </a:extLst>
        </xdr:cNvPr>
        <xdr:cNvGrpSpPr/>
      </xdr:nvGrpSpPr>
      <xdr:grpSpPr>
        <a:xfrm>
          <a:off x="0" y="0"/>
          <a:ext cx="14980898" cy="5163725"/>
          <a:chOff x="0" y="0"/>
          <a:chExt cx="14892618" cy="5289176"/>
        </a:xfrm>
      </xdr:grpSpPr>
      <xdr:pic>
        <xdr:nvPicPr>
          <xdr:cNvPr id="8" name="Imagen 7">
            <a:extLst>
              <a:ext uri="{FF2B5EF4-FFF2-40B4-BE49-F238E27FC236}">
                <a16:creationId xmlns:a16="http://schemas.microsoft.com/office/drawing/2014/main" id="{E76D5ADB-A72B-4AF6-B3D0-3DE386C172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06000" y="0"/>
            <a:ext cx="4986618" cy="5289176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F4055662-DFE0-4C45-B517-5A5090AE8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970930" y="0"/>
            <a:ext cx="4986618" cy="5289176"/>
          </a:xfrm>
          <a:prstGeom prst="rect">
            <a:avLst/>
          </a:prstGeom>
        </xdr:spPr>
      </xdr:pic>
      <xdr:pic>
        <xdr:nvPicPr>
          <xdr:cNvPr id="6" name="Imagen 5">
            <a:extLst>
              <a:ext uri="{FF2B5EF4-FFF2-40B4-BE49-F238E27FC236}">
                <a16:creationId xmlns:a16="http://schemas.microsoft.com/office/drawing/2014/main" id="{73B50853-E34C-11C6-F1F0-267EC76C4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4986618" cy="5289176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514241</xdr:colOff>
      <xdr:row>6</xdr:row>
      <xdr:rowOff>8828</xdr:rowOff>
    </xdr:from>
    <xdr:to>
      <xdr:col>13</xdr:col>
      <xdr:colOff>637506</xdr:colOff>
      <xdr:row>27</xdr:row>
      <xdr:rowOff>168908</xdr:rowOff>
    </xdr:to>
    <xdr:sp macro="" textlink="">
      <xdr:nvSpPr>
        <xdr:cNvPr id="4" name="Diagrama de flujo: proceso alternativo 3">
          <a:extLst>
            <a:ext uri="{FF2B5EF4-FFF2-40B4-BE49-F238E27FC236}">
              <a16:creationId xmlns:a16="http://schemas.microsoft.com/office/drawing/2014/main" id="{CFB37ED8-0EE2-2500-C0A3-DCA349209A44}"/>
            </a:ext>
          </a:extLst>
        </xdr:cNvPr>
        <xdr:cNvSpPr/>
      </xdr:nvSpPr>
      <xdr:spPr>
        <a:xfrm>
          <a:off x="4347473" y="1123950"/>
          <a:ext cx="6256435" cy="4063007"/>
        </a:xfrm>
        <a:prstGeom prst="flowChartAlternateProcess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7</xdr:row>
          <xdr:rowOff>0</xdr:rowOff>
        </xdr:from>
        <xdr:to>
          <xdr:col>9</xdr:col>
          <xdr:colOff>161925</xdr:colOff>
          <xdr:row>9</xdr:row>
          <xdr:rowOff>66675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Gestion de empleados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7</xdr:row>
          <xdr:rowOff>28575</xdr:rowOff>
        </xdr:from>
        <xdr:to>
          <xdr:col>12</xdr:col>
          <xdr:colOff>723900</xdr:colOff>
          <xdr:row>9</xdr:row>
          <xdr:rowOff>95250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Registro Diario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161925</xdr:colOff>
          <xdr:row>10</xdr:row>
          <xdr:rowOff>114300</xdr:rowOff>
        </xdr:from>
        <xdr:to>
          <xdr:col>12</xdr:col>
          <xdr:colOff>752475</xdr:colOff>
          <xdr:row>12</xdr:row>
          <xdr:rowOff>161925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Calculo Automatico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10</xdr:row>
          <xdr:rowOff>123825</xdr:rowOff>
        </xdr:from>
        <xdr:to>
          <xdr:col>9</xdr:col>
          <xdr:colOff>161925</xdr:colOff>
          <xdr:row>12</xdr:row>
          <xdr:rowOff>161925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Resumen de Asistencia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18</xdr:row>
          <xdr:rowOff>76200</xdr:rowOff>
        </xdr:from>
        <xdr:to>
          <xdr:col>13</xdr:col>
          <xdr:colOff>28575</xdr:colOff>
          <xdr:row>20</xdr:row>
          <xdr:rowOff>142875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0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Reportes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38100</xdr:colOff>
      <xdr:row>0</xdr:row>
      <xdr:rowOff>66675</xdr:rowOff>
    </xdr:from>
    <xdr:to>
      <xdr:col>13</xdr:col>
      <xdr:colOff>152400</xdr:colOff>
      <xdr:row>5</xdr:row>
      <xdr:rowOff>123825</xdr:rowOff>
    </xdr:to>
    <xdr:sp macro="" textlink="">
      <xdr:nvSpPr>
        <xdr:cNvPr id="3" name="Rectángulo: biselado 2">
          <a:extLst>
            <a:ext uri="{FF2B5EF4-FFF2-40B4-BE49-F238E27FC236}">
              <a16:creationId xmlns:a16="http://schemas.microsoft.com/office/drawing/2014/main" id="{3F8D71B9-A6B6-CE4B-56E7-690D09142CA9}"/>
            </a:ext>
          </a:extLst>
        </xdr:cNvPr>
        <xdr:cNvSpPr/>
      </xdr:nvSpPr>
      <xdr:spPr>
        <a:xfrm>
          <a:off x="4637978" y="66675"/>
          <a:ext cx="5480824" cy="986418"/>
        </a:xfrm>
        <a:prstGeom prst="bevel">
          <a:avLst>
            <a:gd name="adj" fmla="val 23098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600">
              <a:latin typeface="Comic Sans MS" panose="030F0702030302020204" pitchFamily="66" charset="0"/>
            </a:rPr>
            <a:t>SISTEMA DE CONTROL DE PERSONAL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17</xdr:row>
          <xdr:rowOff>171450</xdr:rowOff>
        </xdr:from>
        <xdr:to>
          <xdr:col>9</xdr:col>
          <xdr:colOff>171450</xdr:colOff>
          <xdr:row>20</xdr:row>
          <xdr:rowOff>152400</xdr:rowOff>
        </xdr:to>
        <xdr:sp macro="" textlink="">
          <xdr:nvSpPr>
            <xdr:cNvPr id="7176" name="Button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Feriados, Cumpleaños y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133350</xdr:colOff>
          <xdr:row>14</xdr:row>
          <xdr:rowOff>57150</xdr:rowOff>
        </xdr:from>
        <xdr:to>
          <xdr:col>12</xdr:col>
          <xdr:colOff>714375</xdr:colOff>
          <xdr:row>16</xdr:row>
          <xdr:rowOff>95250</xdr:rowOff>
        </xdr:to>
        <xdr:sp macro="" textlink="">
          <xdr:nvSpPr>
            <xdr:cNvPr id="7177" name="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Solicitud de Vacaciones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14</xdr:row>
          <xdr:rowOff>57150</xdr:rowOff>
        </xdr:from>
        <xdr:to>
          <xdr:col>9</xdr:col>
          <xdr:colOff>171450</xdr:colOff>
          <xdr:row>16</xdr:row>
          <xdr:rowOff>95250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CR" sz="1200" b="0" i="0" u="none" strike="noStrike" baseline="0">
                  <a:solidFill>
                    <a:srgbClr val="000000"/>
                  </a:solidFill>
                  <a:latin typeface="Comic Sans MS"/>
                </a:rPr>
                <a:t>Estatus de Vacaciones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22</xdr:row>
          <xdr:rowOff>95250</xdr:rowOff>
        </xdr:from>
        <xdr:to>
          <xdr:col>11</xdr:col>
          <xdr:colOff>19050</xdr:colOff>
          <xdr:row>26</xdr:row>
          <xdr:rowOff>57150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Guardar y 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8</xdr:row>
      <xdr:rowOff>152400</xdr:rowOff>
    </xdr:from>
    <xdr:to>
      <xdr:col>8</xdr:col>
      <xdr:colOff>323850</xdr:colOff>
      <xdr:row>10</xdr:row>
      <xdr:rowOff>9525</xdr:rowOff>
    </xdr:to>
    <xdr:sp macro="[0]!Ordenar_Menor_Mayor" textlink="">
      <xdr:nvSpPr>
        <xdr:cNvPr id="3" name="Diagrama de flujo: proceso alternativo 2">
          <a:extLst>
            <a:ext uri="{FF2B5EF4-FFF2-40B4-BE49-F238E27FC236}">
              <a16:creationId xmlns:a16="http://schemas.microsoft.com/office/drawing/2014/main" id="{764BB6EE-01D5-FA8D-1684-BD5DD010475C}"/>
            </a:ext>
          </a:extLst>
        </xdr:cNvPr>
        <xdr:cNvSpPr/>
      </xdr:nvSpPr>
      <xdr:spPr>
        <a:xfrm>
          <a:off x="5267325" y="1676400"/>
          <a:ext cx="2105025" cy="238125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100"/>
            <a:t>Ordenar de Menor a Mayor</a:t>
          </a:r>
        </a:p>
      </xdr:txBody>
    </xdr:sp>
    <xdr:clientData/>
  </xdr:twoCellAnchor>
  <xdr:twoCellAnchor>
    <xdr:from>
      <xdr:col>4</xdr:col>
      <xdr:colOff>152400</xdr:colOff>
      <xdr:row>1</xdr:row>
      <xdr:rowOff>133350</xdr:rowOff>
    </xdr:from>
    <xdr:to>
      <xdr:col>5</xdr:col>
      <xdr:colOff>542926</xdr:colOff>
      <xdr:row>8</xdr:row>
      <xdr:rowOff>9525</xdr:rowOff>
    </xdr:to>
    <xdr:sp macro="[0]!Guardar_Contacto" textlink="">
      <xdr:nvSpPr>
        <xdr:cNvPr id="4" name="Rectángulo: biselado 3">
          <a:extLst>
            <a:ext uri="{FF2B5EF4-FFF2-40B4-BE49-F238E27FC236}">
              <a16:creationId xmlns:a16="http://schemas.microsoft.com/office/drawing/2014/main" id="{4E9ADC49-9A89-2126-822C-31575FEE1E3D}"/>
            </a:ext>
          </a:extLst>
        </xdr:cNvPr>
        <xdr:cNvSpPr/>
      </xdr:nvSpPr>
      <xdr:spPr>
        <a:xfrm>
          <a:off x="3362325" y="323850"/>
          <a:ext cx="1152526" cy="1209675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R" sz="1200"/>
            <a:t>GUARDAR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0</xdr:row>
          <xdr:rowOff>161925</xdr:rowOff>
        </xdr:from>
        <xdr:to>
          <xdr:col>9</xdr:col>
          <xdr:colOff>161925</xdr:colOff>
          <xdr:row>3</xdr:row>
          <xdr:rowOff>28575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Feriados, Cumpleaños y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609600</xdr:colOff>
          <xdr:row>4</xdr:row>
          <xdr:rowOff>19050</xdr:rowOff>
        </xdr:from>
        <xdr:to>
          <xdr:col>8</xdr:col>
          <xdr:colOff>714375</xdr:colOff>
          <xdr:row>6</xdr:row>
          <xdr:rowOff>133350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15</xdr:row>
          <xdr:rowOff>19050</xdr:rowOff>
        </xdr:from>
        <xdr:to>
          <xdr:col>5</xdr:col>
          <xdr:colOff>171450</xdr:colOff>
          <xdr:row>17</xdr:row>
          <xdr:rowOff>123825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2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Volver a Registro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15</xdr:row>
          <xdr:rowOff>19050</xdr:rowOff>
        </xdr:from>
        <xdr:to>
          <xdr:col>6</xdr:col>
          <xdr:colOff>400050</xdr:colOff>
          <xdr:row>17</xdr:row>
          <xdr:rowOff>133350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179294</xdr:colOff>
      <xdr:row>17</xdr:row>
      <xdr:rowOff>179294</xdr:rowOff>
    </xdr:from>
    <xdr:to>
      <xdr:col>2</xdr:col>
      <xdr:colOff>941294</xdr:colOff>
      <xdr:row>21</xdr:row>
      <xdr:rowOff>168088</xdr:rowOff>
    </xdr:to>
    <xdr:sp macro="[0]!Guardar_Di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3AE439-6652-71FB-A3B1-A2B4EE33A4A4}"/>
            </a:ext>
          </a:extLst>
        </xdr:cNvPr>
        <xdr:cNvSpPr/>
      </xdr:nvSpPr>
      <xdr:spPr>
        <a:xfrm>
          <a:off x="470647" y="3417794"/>
          <a:ext cx="1792941" cy="750794"/>
        </a:xfrm>
        <a:prstGeom prst="roundRect">
          <a:avLst/>
        </a:prstGeom>
        <a:ln/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100"/>
            <a:t>GUARDAR DIA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13</xdr:row>
          <xdr:rowOff>171450</xdr:rowOff>
        </xdr:from>
        <xdr:to>
          <xdr:col>12</xdr:col>
          <xdr:colOff>152400</xdr:colOff>
          <xdr:row>16</xdr:row>
          <xdr:rowOff>95250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2</xdr:row>
          <xdr:rowOff>142875</xdr:rowOff>
        </xdr:from>
        <xdr:to>
          <xdr:col>8</xdr:col>
          <xdr:colOff>428625</xdr:colOff>
          <xdr:row>5</xdr:row>
          <xdr:rowOff>66675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285750</xdr:colOff>
          <xdr:row>13</xdr:row>
          <xdr:rowOff>19050</xdr:rowOff>
        </xdr:from>
        <xdr:to>
          <xdr:col>12</xdr:col>
          <xdr:colOff>295275</xdr:colOff>
          <xdr:row>15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276224</xdr:colOff>
      <xdr:row>1</xdr:row>
      <xdr:rowOff>238126</xdr:rowOff>
    </xdr:from>
    <xdr:to>
      <xdr:col>8</xdr:col>
      <xdr:colOff>495300</xdr:colOff>
      <xdr:row>8</xdr:row>
      <xdr:rowOff>352426</xdr:rowOff>
    </xdr:to>
    <xdr:sp macro="[0]!Enviar_Solicitud" textlink="">
      <xdr:nvSpPr>
        <xdr:cNvPr id="2" name="Rectángulo: biselado 1">
          <a:extLst>
            <a:ext uri="{FF2B5EF4-FFF2-40B4-BE49-F238E27FC236}">
              <a16:creationId xmlns:a16="http://schemas.microsoft.com/office/drawing/2014/main" id="{B1685E6C-5A7C-462C-9C51-F75617814DAE}"/>
            </a:ext>
          </a:extLst>
        </xdr:cNvPr>
        <xdr:cNvSpPr/>
      </xdr:nvSpPr>
      <xdr:spPr>
        <a:xfrm>
          <a:off x="6924674" y="428626"/>
          <a:ext cx="1657351" cy="2647950"/>
        </a:xfrm>
        <a:prstGeom prst="bevel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R" sz="1600"/>
            <a:t>Enviar</a:t>
          </a:r>
          <a:r>
            <a:rPr lang="es-CR" sz="1600" baseline="0"/>
            <a:t> Solicitud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333375</xdr:rowOff>
        </xdr:from>
        <xdr:to>
          <xdr:col>11</xdr:col>
          <xdr:colOff>171450</xdr:colOff>
          <xdr:row>3</xdr:row>
          <xdr:rowOff>104775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4</xdr:row>
      <xdr:rowOff>0</xdr:rowOff>
    </xdr:from>
    <xdr:to>
      <xdr:col>3</xdr:col>
      <xdr:colOff>279400</xdr:colOff>
      <xdr:row>5</xdr:row>
      <xdr:rowOff>12700</xdr:rowOff>
    </xdr:to>
    <xdr:sp macro="[1]!dp_core.gridDP_Click" textlink="">
      <xdr:nvSpPr>
        <xdr:cNvPr id="10" name="Rectángulo 9">
          <a:extLst>
            <a:ext uri="{FF2B5EF4-FFF2-40B4-BE49-F238E27FC236}">
              <a16:creationId xmlns:a16="http://schemas.microsoft.com/office/drawing/2014/main" id="{5B561D84-27D2-429A-A429-3F738D056ABF}"/>
            </a:ext>
          </a:extLst>
        </xdr:cNvPr>
        <xdr:cNvSpPr/>
      </xdr:nvSpPr>
      <xdr:spPr>
        <a:xfrm>
          <a:off x="1876425" y="676275"/>
          <a:ext cx="203200" cy="2032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47625</xdr:rowOff>
        </xdr:from>
        <xdr:to>
          <xdr:col>12</xdr:col>
          <xdr:colOff>533400</xdr:colOff>
          <xdr:row>0</xdr:row>
          <xdr:rowOff>352425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7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0</xdr:row>
          <xdr:rowOff>419100</xdr:rowOff>
        </xdr:from>
        <xdr:to>
          <xdr:col>13</xdr:col>
          <xdr:colOff>28575</xdr:colOff>
          <xdr:row>2</xdr:row>
          <xdr:rowOff>171450</xdr:rowOff>
        </xdr:to>
        <xdr:sp macro="" textlink="">
          <xdr:nvSpPr>
            <xdr:cNvPr id="15385" name="Button 25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7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Respuesta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0</xdr:row>
          <xdr:rowOff>19050</xdr:rowOff>
        </xdr:from>
        <xdr:to>
          <xdr:col>13</xdr:col>
          <xdr:colOff>714375</xdr:colOff>
          <xdr:row>0</xdr:row>
          <xdr:rowOff>342900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4</xdr:row>
          <xdr:rowOff>9525</xdr:rowOff>
        </xdr:from>
        <xdr:to>
          <xdr:col>15</xdr:col>
          <xdr:colOff>428625</xdr:colOff>
          <xdr:row>5</xdr:row>
          <xdr:rowOff>142875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R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19049</xdr:colOff>
      <xdr:row>3</xdr:row>
      <xdr:rowOff>33336</xdr:rowOff>
    </xdr:from>
    <xdr:to>
      <xdr:col>11</xdr:col>
      <xdr:colOff>752474</xdr:colOff>
      <xdr:row>23</xdr:row>
      <xdr:rowOff>38099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BB61ED1-D5F0-B035-CFF6-261C89D234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7</xdr:row>
          <xdr:rowOff>57150</xdr:rowOff>
        </xdr:from>
        <xdr:to>
          <xdr:col>15</xdr:col>
          <xdr:colOff>476250</xdr:colOff>
          <xdr:row>10</xdr:row>
          <xdr:rowOff>38100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Reporte</a:t>
              </a:r>
            </a:p>
            <a:p>
              <a:pPr algn="ctr" rtl="0">
                <a:defRPr sz="1000"/>
              </a:pPr>
              <a:r>
                <a:rPr lang="es-C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der\Videos\samradapps_datepicker_221114\samradapps_datepicker_221114.xlam" TargetMode="External"/><Relationship Id="rId1" Type="http://schemas.openxmlformats.org/officeDocument/2006/relationships/externalLinkPath" Target="samradapps_datepicker_221114/samradapps_datepicker_22111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data12345"/>
      <sheetName val="Sheet1"/>
    </sheetNames>
    <definedNames>
      <definedName name="dp_core.gridDP_Click"/>
    </definedNames>
    <sheetDataSet>
      <sheetData sheetId="0"/>
      <sheetData sheetId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belyn Ruiz" refreshedDate="46091.603180439815" createdVersion="8" refreshedVersion="8" minRefreshableVersion="3" recordCount="141" xr:uid="{9CE2BC22-3247-4916-A6E3-150F1D9C8C44}">
  <cacheSource type="worksheet">
    <worksheetSource ref="A3:E1048576" sheet="Registro_Mensual"/>
  </cacheSource>
  <cacheFields count="5">
    <cacheField name="Fecha" numFmtId="14">
      <sharedItems containsNonDate="0" containsDate="1" containsString="0" containsBlank="1" minDate="2025-02-10T00:00:00" maxDate="2026-03-11T00:00:00" count="6">
        <d v="2026-03-10T00:00:00"/>
        <d v="2025-02-10T00:00:00"/>
        <d v="2026-02-08T00:00:00"/>
        <d v="2025-03-07T00:00:00"/>
        <d v="2026-03-06T00:00:00"/>
        <m/>
      </sharedItems>
    </cacheField>
    <cacheField name="Empleado" numFmtId="0">
      <sharedItems containsBlank="1" count="21">
        <m/>
        <s v="Ana"/>
        <s v="Luis"/>
        <s v="Maria"/>
        <s v="Hernesto"/>
        <s v="Javier"/>
        <s v="Ingrid"/>
        <s v="Mariela"/>
        <s v="Julio"/>
        <s v="Benito"/>
        <s v="Marisela"/>
        <s v="Amy"/>
        <s v="Dayana"/>
        <s v="Angela"/>
        <s v="Temperance"/>
        <s v="Seely"/>
        <s v="Enrrique"/>
        <s v="Mauricio"/>
        <s v="Valeria"/>
        <s v="Maria Jose"/>
        <s v="Mabelyn"/>
      </sharedItems>
    </cacheField>
    <cacheField name="TipoRegistro" numFmtId="0">
      <sharedItems containsBlank="1" count="5">
        <m/>
        <s v="Asistencia"/>
        <s v="Libre"/>
        <s v="Incapacidad"/>
        <s v="Vacaciones"/>
      </sharedItems>
    </cacheField>
    <cacheField name="Observaciones" numFmtId="0">
      <sharedItems containsBlank="1" count="6">
        <m/>
        <s v="1 Turno Normal"/>
        <s v="4 Libre Solicitado"/>
        <s v="5 INS"/>
        <s v="2 Viaje"/>
        <s v="3  Feriado"/>
      </sharedItems>
    </cacheField>
    <cacheField name="Dias" numFmtId="0">
      <sharedItems containsString="0" containsBlank="1" containsNumber="1" containsInteger="1" minValue="1" maxValue="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1"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0"/>
    <x v="0"/>
    <x v="0"/>
    <x v="0"/>
    <m/>
  </r>
  <r>
    <x v="1"/>
    <x v="1"/>
    <x v="1"/>
    <x v="1"/>
    <n v="1"/>
  </r>
  <r>
    <x v="1"/>
    <x v="2"/>
    <x v="1"/>
    <x v="1"/>
    <n v="1"/>
  </r>
  <r>
    <x v="1"/>
    <x v="3"/>
    <x v="2"/>
    <x v="2"/>
    <n v="2"/>
  </r>
  <r>
    <x v="1"/>
    <x v="4"/>
    <x v="2"/>
    <x v="2"/>
    <n v="3"/>
  </r>
  <r>
    <x v="1"/>
    <x v="5"/>
    <x v="3"/>
    <x v="3"/>
    <n v="2"/>
  </r>
  <r>
    <x v="1"/>
    <x v="6"/>
    <x v="4"/>
    <x v="4"/>
    <n v="5"/>
  </r>
  <r>
    <x v="1"/>
    <x v="7"/>
    <x v="4"/>
    <x v="4"/>
    <n v="5"/>
  </r>
  <r>
    <x v="1"/>
    <x v="8"/>
    <x v="3"/>
    <x v="3"/>
    <n v="2"/>
  </r>
  <r>
    <x v="1"/>
    <x v="9"/>
    <x v="2"/>
    <x v="5"/>
    <n v="1"/>
  </r>
  <r>
    <x v="1"/>
    <x v="10"/>
    <x v="2"/>
    <x v="5"/>
    <n v="1"/>
  </r>
  <r>
    <x v="1"/>
    <x v="11"/>
    <x v="2"/>
    <x v="5"/>
    <n v="1"/>
  </r>
  <r>
    <x v="1"/>
    <x v="12"/>
    <x v="2"/>
    <x v="5"/>
    <n v="1"/>
  </r>
  <r>
    <x v="1"/>
    <x v="13"/>
    <x v="1"/>
    <x v="1"/>
    <n v="1"/>
  </r>
  <r>
    <x v="1"/>
    <x v="14"/>
    <x v="1"/>
    <x v="1"/>
    <n v="1"/>
  </r>
  <r>
    <x v="1"/>
    <x v="15"/>
    <x v="1"/>
    <x v="1"/>
    <n v="1"/>
  </r>
  <r>
    <x v="1"/>
    <x v="16"/>
    <x v="1"/>
    <x v="1"/>
    <n v="1"/>
  </r>
  <r>
    <x v="1"/>
    <x v="17"/>
    <x v="1"/>
    <x v="1"/>
    <n v="1"/>
  </r>
  <r>
    <x v="1"/>
    <x v="18"/>
    <x v="1"/>
    <x v="1"/>
    <n v="1"/>
  </r>
  <r>
    <x v="1"/>
    <x v="19"/>
    <x v="1"/>
    <x v="1"/>
    <n v="1"/>
  </r>
  <r>
    <x v="1"/>
    <x v="20"/>
    <x v="1"/>
    <x v="1"/>
    <n v="1"/>
  </r>
  <r>
    <x v="2"/>
    <x v="1"/>
    <x v="1"/>
    <x v="1"/>
    <n v="1"/>
  </r>
  <r>
    <x v="2"/>
    <x v="2"/>
    <x v="1"/>
    <x v="1"/>
    <n v="1"/>
  </r>
  <r>
    <x v="2"/>
    <x v="3"/>
    <x v="2"/>
    <x v="2"/>
    <n v="2"/>
  </r>
  <r>
    <x v="2"/>
    <x v="4"/>
    <x v="2"/>
    <x v="2"/>
    <n v="3"/>
  </r>
  <r>
    <x v="2"/>
    <x v="5"/>
    <x v="3"/>
    <x v="3"/>
    <n v="2"/>
  </r>
  <r>
    <x v="2"/>
    <x v="6"/>
    <x v="4"/>
    <x v="4"/>
    <n v="5"/>
  </r>
  <r>
    <x v="2"/>
    <x v="7"/>
    <x v="4"/>
    <x v="4"/>
    <n v="5"/>
  </r>
  <r>
    <x v="2"/>
    <x v="8"/>
    <x v="3"/>
    <x v="3"/>
    <n v="2"/>
  </r>
  <r>
    <x v="2"/>
    <x v="9"/>
    <x v="2"/>
    <x v="5"/>
    <n v="1"/>
  </r>
  <r>
    <x v="2"/>
    <x v="10"/>
    <x v="2"/>
    <x v="5"/>
    <n v="1"/>
  </r>
  <r>
    <x v="2"/>
    <x v="11"/>
    <x v="2"/>
    <x v="5"/>
    <n v="1"/>
  </r>
  <r>
    <x v="2"/>
    <x v="12"/>
    <x v="2"/>
    <x v="5"/>
    <n v="1"/>
  </r>
  <r>
    <x v="2"/>
    <x v="13"/>
    <x v="1"/>
    <x v="1"/>
    <n v="1"/>
  </r>
  <r>
    <x v="2"/>
    <x v="14"/>
    <x v="1"/>
    <x v="1"/>
    <n v="1"/>
  </r>
  <r>
    <x v="2"/>
    <x v="15"/>
    <x v="1"/>
    <x v="1"/>
    <n v="1"/>
  </r>
  <r>
    <x v="2"/>
    <x v="16"/>
    <x v="1"/>
    <x v="1"/>
    <n v="1"/>
  </r>
  <r>
    <x v="2"/>
    <x v="17"/>
    <x v="1"/>
    <x v="1"/>
    <n v="1"/>
  </r>
  <r>
    <x v="2"/>
    <x v="18"/>
    <x v="1"/>
    <x v="1"/>
    <n v="1"/>
  </r>
  <r>
    <x v="2"/>
    <x v="19"/>
    <x v="1"/>
    <x v="1"/>
    <n v="1"/>
  </r>
  <r>
    <x v="2"/>
    <x v="20"/>
    <x v="1"/>
    <x v="1"/>
    <n v="1"/>
  </r>
  <r>
    <x v="3"/>
    <x v="1"/>
    <x v="1"/>
    <x v="1"/>
    <n v="1"/>
  </r>
  <r>
    <x v="3"/>
    <x v="2"/>
    <x v="1"/>
    <x v="1"/>
    <n v="1"/>
  </r>
  <r>
    <x v="3"/>
    <x v="3"/>
    <x v="2"/>
    <x v="2"/>
    <n v="2"/>
  </r>
  <r>
    <x v="3"/>
    <x v="4"/>
    <x v="2"/>
    <x v="2"/>
    <n v="3"/>
  </r>
  <r>
    <x v="3"/>
    <x v="5"/>
    <x v="3"/>
    <x v="3"/>
    <n v="2"/>
  </r>
  <r>
    <x v="3"/>
    <x v="6"/>
    <x v="4"/>
    <x v="4"/>
    <n v="5"/>
  </r>
  <r>
    <x v="3"/>
    <x v="7"/>
    <x v="4"/>
    <x v="4"/>
    <n v="5"/>
  </r>
  <r>
    <x v="3"/>
    <x v="8"/>
    <x v="3"/>
    <x v="3"/>
    <n v="2"/>
  </r>
  <r>
    <x v="3"/>
    <x v="9"/>
    <x v="2"/>
    <x v="5"/>
    <n v="1"/>
  </r>
  <r>
    <x v="3"/>
    <x v="10"/>
    <x v="2"/>
    <x v="5"/>
    <n v="1"/>
  </r>
  <r>
    <x v="3"/>
    <x v="11"/>
    <x v="2"/>
    <x v="5"/>
    <n v="1"/>
  </r>
  <r>
    <x v="3"/>
    <x v="12"/>
    <x v="2"/>
    <x v="5"/>
    <n v="1"/>
  </r>
  <r>
    <x v="3"/>
    <x v="13"/>
    <x v="1"/>
    <x v="1"/>
    <n v="1"/>
  </r>
  <r>
    <x v="3"/>
    <x v="14"/>
    <x v="1"/>
    <x v="1"/>
    <n v="1"/>
  </r>
  <r>
    <x v="3"/>
    <x v="15"/>
    <x v="1"/>
    <x v="1"/>
    <n v="1"/>
  </r>
  <r>
    <x v="3"/>
    <x v="16"/>
    <x v="1"/>
    <x v="1"/>
    <n v="1"/>
  </r>
  <r>
    <x v="3"/>
    <x v="17"/>
    <x v="1"/>
    <x v="1"/>
    <n v="1"/>
  </r>
  <r>
    <x v="3"/>
    <x v="18"/>
    <x v="1"/>
    <x v="1"/>
    <n v="1"/>
  </r>
  <r>
    <x v="3"/>
    <x v="19"/>
    <x v="1"/>
    <x v="1"/>
    <n v="1"/>
  </r>
  <r>
    <x v="3"/>
    <x v="20"/>
    <x v="1"/>
    <x v="1"/>
    <n v="1"/>
  </r>
  <r>
    <x v="3"/>
    <x v="1"/>
    <x v="1"/>
    <x v="1"/>
    <n v="1"/>
  </r>
  <r>
    <x v="3"/>
    <x v="2"/>
    <x v="1"/>
    <x v="1"/>
    <n v="1"/>
  </r>
  <r>
    <x v="3"/>
    <x v="3"/>
    <x v="2"/>
    <x v="2"/>
    <n v="2"/>
  </r>
  <r>
    <x v="3"/>
    <x v="4"/>
    <x v="2"/>
    <x v="2"/>
    <n v="3"/>
  </r>
  <r>
    <x v="3"/>
    <x v="5"/>
    <x v="3"/>
    <x v="3"/>
    <n v="2"/>
  </r>
  <r>
    <x v="3"/>
    <x v="6"/>
    <x v="4"/>
    <x v="4"/>
    <n v="5"/>
  </r>
  <r>
    <x v="3"/>
    <x v="7"/>
    <x v="4"/>
    <x v="4"/>
    <n v="5"/>
  </r>
  <r>
    <x v="3"/>
    <x v="8"/>
    <x v="3"/>
    <x v="3"/>
    <n v="2"/>
  </r>
  <r>
    <x v="3"/>
    <x v="9"/>
    <x v="2"/>
    <x v="5"/>
    <n v="1"/>
  </r>
  <r>
    <x v="3"/>
    <x v="10"/>
    <x v="2"/>
    <x v="5"/>
    <n v="1"/>
  </r>
  <r>
    <x v="3"/>
    <x v="11"/>
    <x v="2"/>
    <x v="5"/>
    <n v="1"/>
  </r>
  <r>
    <x v="3"/>
    <x v="12"/>
    <x v="2"/>
    <x v="5"/>
    <n v="1"/>
  </r>
  <r>
    <x v="3"/>
    <x v="13"/>
    <x v="1"/>
    <x v="1"/>
    <n v="1"/>
  </r>
  <r>
    <x v="3"/>
    <x v="14"/>
    <x v="1"/>
    <x v="1"/>
    <n v="1"/>
  </r>
  <r>
    <x v="3"/>
    <x v="15"/>
    <x v="1"/>
    <x v="1"/>
    <n v="1"/>
  </r>
  <r>
    <x v="3"/>
    <x v="16"/>
    <x v="1"/>
    <x v="1"/>
    <n v="1"/>
  </r>
  <r>
    <x v="3"/>
    <x v="17"/>
    <x v="1"/>
    <x v="1"/>
    <n v="1"/>
  </r>
  <r>
    <x v="3"/>
    <x v="18"/>
    <x v="1"/>
    <x v="1"/>
    <n v="1"/>
  </r>
  <r>
    <x v="3"/>
    <x v="19"/>
    <x v="1"/>
    <x v="1"/>
    <n v="1"/>
  </r>
  <r>
    <x v="3"/>
    <x v="20"/>
    <x v="1"/>
    <x v="1"/>
    <n v="1"/>
  </r>
  <r>
    <x v="4"/>
    <x v="1"/>
    <x v="1"/>
    <x v="1"/>
    <n v="1"/>
  </r>
  <r>
    <x v="4"/>
    <x v="2"/>
    <x v="1"/>
    <x v="1"/>
    <n v="1"/>
  </r>
  <r>
    <x v="4"/>
    <x v="3"/>
    <x v="2"/>
    <x v="2"/>
    <n v="2"/>
  </r>
  <r>
    <x v="4"/>
    <x v="4"/>
    <x v="2"/>
    <x v="2"/>
    <n v="3"/>
  </r>
  <r>
    <x v="4"/>
    <x v="5"/>
    <x v="3"/>
    <x v="3"/>
    <n v="2"/>
  </r>
  <r>
    <x v="4"/>
    <x v="6"/>
    <x v="4"/>
    <x v="4"/>
    <n v="5"/>
  </r>
  <r>
    <x v="4"/>
    <x v="7"/>
    <x v="4"/>
    <x v="4"/>
    <n v="5"/>
  </r>
  <r>
    <x v="4"/>
    <x v="8"/>
    <x v="3"/>
    <x v="3"/>
    <n v="2"/>
  </r>
  <r>
    <x v="4"/>
    <x v="9"/>
    <x v="2"/>
    <x v="5"/>
    <n v="1"/>
  </r>
  <r>
    <x v="4"/>
    <x v="10"/>
    <x v="2"/>
    <x v="5"/>
    <n v="1"/>
  </r>
  <r>
    <x v="4"/>
    <x v="11"/>
    <x v="2"/>
    <x v="5"/>
    <n v="1"/>
  </r>
  <r>
    <x v="4"/>
    <x v="12"/>
    <x v="2"/>
    <x v="5"/>
    <n v="1"/>
  </r>
  <r>
    <x v="4"/>
    <x v="13"/>
    <x v="1"/>
    <x v="1"/>
    <n v="1"/>
  </r>
  <r>
    <x v="4"/>
    <x v="14"/>
    <x v="1"/>
    <x v="1"/>
    <n v="1"/>
  </r>
  <r>
    <x v="4"/>
    <x v="15"/>
    <x v="1"/>
    <x v="1"/>
    <n v="1"/>
  </r>
  <r>
    <x v="4"/>
    <x v="16"/>
    <x v="1"/>
    <x v="1"/>
    <n v="1"/>
  </r>
  <r>
    <x v="4"/>
    <x v="17"/>
    <x v="1"/>
    <x v="1"/>
    <n v="1"/>
  </r>
  <r>
    <x v="4"/>
    <x v="18"/>
    <x v="1"/>
    <x v="1"/>
    <n v="1"/>
  </r>
  <r>
    <x v="4"/>
    <x v="19"/>
    <x v="1"/>
    <x v="1"/>
    <n v="1"/>
  </r>
  <r>
    <x v="4"/>
    <x v="20"/>
    <x v="1"/>
    <x v="1"/>
    <n v="1"/>
  </r>
  <r>
    <x v="5"/>
    <x v="0"/>
    <x v="0"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1111CD-BB51-45A6-8F49-09515E965F55}" name="TablaDinámica2" cacheId="0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Nombres">
  <location ref="A3:U10" firstHeaderRow="1" firstDataRow="2" firstDataCol="1" rowPageCount="1" colPageCount="1"/>
  <pivotFields count="5">
    <pivotField axis="axisPage" multipleItemSelectionAllowed="1" showAll="0">
      <items count="7">
        <item x="1"/>
        <item x="3"/>
        <item x="2"/>
        <item x="4"/>
        <item x="5"/>
        <item x="0"/>
        <item t="default"/>
      </items>
    </pivotField>
    <pivotField axis="axisCol" showAll="0">
      <items count="22">
        <item x="8"/>
        <item x="11"/>
        <item x="1"/>
        <item x="13"/>
        <item x="9"/>
        <item x="12"/>
        <item x="16"/>
        <item x="4"/>
        <item x="6"/>
        <item x="5"/>
        <item x="2"/>
        <item x="20"/>
        <item x="3"/>
        <item x="19"/>
        <item x="7"/>
        <item x="10"/>
        <item x="17"/>
        <item x="15"/>
        <item x="14"/>
        <item x="18"/>
        <item h="1" x="0"/>
        <item t="default"/>
      </items>
    </pivotField>
    <pivotField axis="axisRow" showAll="0">
      <items count="6">
        <item x="1"/>
        <item x="3"/>
        <item x="2"/>
        <item x="4"/>
        <item x="0"/>
        <item t="default"/>
      </items>
    </pivotField>
    <pivotField axis="axisRow" multipleItemSelectionAllowed="1" showAll="0">
      <items count="7">
        <item sd="0" x="1"/>
        <item sd="0" x="4"/>
        <item sd="0" x="5"/>
        <item sd="0" x="2"/>
        <item sd="0" x="3"/>
        <item sd="0" x="0"/>
        <item t="default"/>
      </items>
    </pivotField>
    <pivotField dataField="1" showAll="0"/>
  </pivotFields>
  <rowFields count="2">
    <field x="3"/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1"/>
  </colFields>
  <col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colItems>
  <pageFields count="1">
    <pageField fld="0" hier="-1"/>
  </pageFields>
  <dataFields count="1">
    <dataField name="Suma de Dias" fld="4" baseField="0" baseItem="0"/>
  </dataFields>
  <formats count="27">
    <format dxfId="34">
      <pivotArea type="all" dataOnly="0" outline="0" fieldPosition="0"/>
    </format>
    <format dxfId="33">
      <pivotArea outline="0" collapsedLevelsAreSubtotals="1" fieldPosition="0"/>
    </format>
    <format dxfId="32">
      <pivotArea type="origin" dataOnly="0" labelOnly="1" outline="0" fieldPosition="0"/>
    </format>
    <format dxfId="31">
      <pivotArea field="1" type="button" dataOnly="0" labelOnly="1" outline="0" axis="axisCol" fieldPosition="0"/>
    </format>
    <format dxfId="30">
      <pivotArea type="topRight" dataOnly="0" labelOnly="1" outline="0" fieldPosition="0"/>
    </format>
    <format dxfId="29">
      <pivotArea field="3" type="button" dataOnly="0" labelOnly="1" outline="0" axis="axisRow" fieldPosition="0"/>
    </format>
    <format dxfId="28">
      <pivotArea dataOnly="0" labelOnly="1" fieldPosition="0">
        <references count="1">
          <reference field="3" count="0"/>
        </references>
      </pivotArea>
    </format>
    <format dxfId="27">
      <pivotArea dataOnly="0" labelOnly="1" grandRow="1" outline="0" fieldPosition="0"/>
    </format>
    <format dxfId="26">
      <pivotArea dataOnly="0" labelOnly="1" fieldPosition="0">
        <references count="1">
          <reference field="1" count="0"/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1" type="button" dataOnly="0" labelOnly="1" outline="0" axis="axisCol" fieldPosition="0"/>
    </format>
    <format dxfId="21">
      <pivotArea type="topRight" dataOnly="0" labelOnly="1" outline="0" fieldPosition="0"/>
    </format>
    <format dxfId="20">
      <pivotArea field="3" type="button" dataOnly="0" labelOnly="1" outline="0" axis="axisRow" fieldPosition="0"/>
    </format>
    <format dxfId="19">
      <pivotArea dataOnly="0" labelOnly="1" fieldPosition="0">
        <references count="1">
          <reference field="3" count="0"/>
        </references>
      </pivotArea>
    </format>
    <format dxfId="18">
      <pivotArea dataOnly="0" labelOnly="1" grandRow="1" outline="0" fieldPosition="0"/>
    </format>
    <format dxfId="17">
      <pivotArea dataOnly="0" labelOnly="1" fieldPosition="0">
        <references count="1">
          <reference field="1" count="0"/>
        </references>
      </pivotArea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type="origin" dataOnly="0" labelOnly="1" outline="0" fieldPosition="0"/>
    </format>
    <format dxfId="13">
      <pivotArea type="topRight" dataOnly="0" labelOnly="1" outline="0" fieldPosition="0"/>
    </format>
    <format dxfId="12">
      <pivotArea field="3" type="button" dataOnly="0" labelOnly="1" outline="0" axis="axisRow" fieldPosition="0"/>
    </format>
    <format dxfId="11">
      <pivotArea dataOnly="0" labelOnly="1" fieldPosition="0">
        <references count="1">
          <reference field="3" count="0"/>
        </references>
      </pivotArea>
    </format>
    <format dxfId="10">
      <pivotArea dataOnly="0" labelOnly="1" grandRow="1" outline="0" fieldPosition="0"/>
    </format>
    <format dxfId="9">
      <pivotArea dataOnly="0" labelOnly="1" fieldPosition="0">
        <references count="1">
          <reference field="1" count="0"/>
        </references>
      </pivotArea>
    </format>
    <format dxfId="8">
      <pivotArea field="1" type="button" dataOnly="0" labelOnly="1" outline="0" axis="axisCol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D55CD-6563-432E-82A0-EEADBDE6D7C9}" name="Tabla1" displayName="Tabla1" ref="A13:J34" totalsRowShown="0" headerRowDxfId="46" dataDxfId="45">
  <autoFilter ref="A13:J34" xr:uid="{59AD55CD-6563-432E-82A0-EEADBDE6D7C9}"/>
  <sortState xmlns:xlrd2="http://schemas.microsoft.com/office/spreadsheetml/2017/richdata2" ref="A14:J33">
    <sortCondition ref="A13:A33"/>
  </sortState>
  <tableColumns count="10">
    <tableColumn id="1" xr3:uid="{8CFF67C4-E69D-4300-A7C8-BF0B3C561CF0}" name="ID" dataDxfId="44"/>
    <tableColumn id="2" xr3:uid="{15B8987C-2FCF-4DA5-98EE-472DA9066978}" name="Nombre1" dataDxfId="43"/>
    <tableColumn id="10" xr3:uid="{5E5C637C-1A76-4F77-874C-6A60989E7B1B}" name="Nombre2" dataDxfId="42"/>
    <tableColumn id="9" xr3:uid="{4F9D0C57-4942-4594-8759-81DE6FCB6DEB}" name="Apellido1" dataDxfId="41"/>
    <tableColumn id="8" xr3:uid="{6C77AA5E-EC34-4F2C-A050-67B3BBE7DC4F}" name="Apellido2" dataDxfId="40"/>
    <tableColumn id="7" xr3:uid="{9B5D8B3B-D0BC-460F-9CE8-3DDDE5086C44}" name="Cedula" dataDxfId="39"/>
    <tableColumn id="3" xr3:uid="{44168710-9CFE-4250-B520-703BFE69C93D}" name="Puesto" dataDxfId="38"/>
    <tableColumn id="4" xr3:uid="{555964ED-F57F-4F6C-80BA-11097047EC0B}" name="Fecha ingreso" dataDxfId="37"/>
    <tableColumn id="5" xr3:uid="{1489AC3B-2825-469A-BCC0-B8390C9FC56F}" name="Salario" dataDxfId="36" dataCellStyle="Moneda"/>
    <tableColumn id="6" xr3:uid="{8276235D-2CDD-4534-AF73-9F4D88593389}" name="Jornada" dataDxfId="35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0984066B-B331-4D18-8098-1D9FDB27ACF3}">
  <we:reference id="wa104381701" version="1.0.0.4" store="es-ES" storeType="OMEX"/>
  <we:alternateReferences>
    <we:reference id="WA104381701" version="1.0.0.4" store="WA10438170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ECE7E1D-0375-45D6-8430-C47D9A0C2888}">
  <we:reference id="wa200009812" version="1.0.0.0" store="es-ES" storeType="OMEX"/>
  <we:alternateReferences>
    <we:reference id="wa200009812" version="1.0.0.0" store="WA20000981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Relationship Id="rId5" Type="http://schemas.openxmlformats.org/officeDocument/2006/relationships/customProperty" Target="../customProperty5.bin"/><Relationship Id="rId4" Type="http://schemas.openxmlformats.org/officeDocument/2006/relationships/customProperty" Target="../customProperty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6.xml"/><Relationship Id="rId4" Type="http://schemas.openxmlformats.org/officeDocument/2006/relationships/image" Target="../media/image5.jpeg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image" Target="../media/image9.jpe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CAEC8-0C38-4769-8E52-F6E0541D0B04}">
  <sheetPr codeName="Hoja1">
    <tabColor theme="9"/>
  </sheetPr>
  <dimension ref="A1"/>
  <sheetViews>
    <sheetView showGridLines="0" zoomScale="82" zoomScaleNormal="82" workbookViewId="0">
      <selection activeCell="J29" sqref="J29"/>
    </sheetView>
  </sheetViews>
  <sheetFormatPr baseColWidth="10" defaultRowHeight="15" x14ac:dyDescent="0.25"/>
  <cols>
    <col min="1" max="1" width="11.42578125" style="3" customWidth="1"/>
    <col min="2" max="16384" width="11.42578125" style="3"/>
  </cols>
  <sheetData/>
  <sheetProtection algorithmName="SHA-512" hashValue="7Wk3CGyoGbagQCaGWozRh05rWHZmFET307Sf/3auGGMbbd3hQXS1D8P41L4qURwd45+yWEn2p8iHqP+9M2UXyg==" saltValue="1VkowdRv2MRqEzFOWQFMug==" spinCount="100000" sheet="1" objects="1" scenarios="1" selectLockedCells="1" selectUnlockedCells="1"/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Gestion_Empleado">
                <anchor moveWithCells="1" sizeWithCells="1">
                  <from>
                    <xdr:col>6</xdr:col>
                    <xdr:colOff>314325</xdr:colOff>
                    <xdr:row>7</xdr:row>
                    <xdr:rowOff>0</xdr:rowOff>
                  </from>
                  <to>
                    <xdr:col>9</xdr:col>
                    <xdr:colOff>161925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Registro_Diario">
                <anchor moveWithCells="1" sizeWithCells="1">
                  <from>
                    <xdr:col>10</xdr:col>
                    <xdr:colOff>152400</xdr:colOff>
                    <xdr:row>7</xdr:row>
                    <xdr:rowOff>28575</xdr:rowOff>
                  </from>
                  <to>
                    <xdr:col>12</xdr:col>
                    <xdr:colOff>723900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Calculo_Automatico">
                <anchor moveWithCells="1" sizeWithCells="1">
                  <from>
                    <xdr:col>10</xdr:col>
                    <xdr:colOff>161925</xdr:colOff>
                    <xdr:row>10</xdr:row>
                    <xdr:rowOff>114300</xdr:rowOff>
                  </from>
                  <to>
                    <xdr:col>12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7" name="Button 5">
              <controlPr defaultSize="0" print="0" autoFill="0" autoPict="0" macro="[0]!Resumen_Vacaciones">
                <anchor moveWithCells="1" sizeWithCells="1">
                  <from>
                    <xdr:col>6</xdr:col>
                    <xdr:colOff>342900</xdr:colOff>
                    <xdr:row>10</xdr:row>
                    <xdr:rowOff>123825</xdr:rowOff>
                  </from>
                  <to>
                    <xdr:col>9</xdr:col>
                    <xdr:colOff>161925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8" name="Button 6">
              <controlPr defaultSize="0" print="0" autoFill="0" autoPict="0" macro="[0]!Reportes">
                <anchor moveWithCells="1" sizeWithCells="1">
                  <from>
                    <xdr:col>10</xdr:col>
                    <xdr:colOff>123825</xdr:colOff>
                    <xdr:row>18</xdr:row>
                    <xdr:rowOff>76200</xdr:rowOff>
                  </from>
                  <to>
                    <xdr:col>13</xdr:col>
                    <xdr:colOff>28575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" r:id="rId9" name="Button 8">
              <controlPr defaultSize="0" print="0" autoFill="0" autoPict="0" macro="[0]!Feriados">
                <anchor moveWithCells="1" sizeWithCells="1">
                  <from>
                    <xdr:col>6</xdr:col>
                    <xdr:colOff>352425</xdr:colOff>
                    <xdr:row>17</xdr:row>
                    <xdr:rowOff>171450</xdr:rowOff>
                  </from>
                  <to>
                    <xdr:col>9</xdr:col>
                    <xdr:colOff>171450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10" name="Button 9">
              <controlPr defaultSize="0" print="0" autoFill="0" autoPict="0" macro="[0]!Solicitud_Vacaciones">
                <anchor moveWithCells="1" sizeWithCells="1">
                  <from>
                    <xdr:col>10</xdr:col>
                    <xdr:colOff>133350</xdr:colOff>
                    <xdr:row>14</xdr:row>
                    <xdr:rowOff>57150</xdr:rowOff>
                  </from>
                  <to>
                    <xdr:col>12</xdr:col>
                    <xdr:colOff>714375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11" name="Button 10">
              <controlPr defaultSize="0" print="0" autoFill="0" autoPict="0" macro="[0]!Estatus_Vacaciones">
                <anchor moveWithCells="1" sizeWithCells="1">
                  <from>
                    <xdr:col>6</xdr:col>
                    <xdr:colOff>361950</xdr:colOff>
                    <xdr:row>14</xdr:row>
                    <xdr:rowOff>57150</xdr:rowOff>
                  </from>
                  <to>
                    <xdr:col>9</xdr:col>
                    <xdr:colOff>171450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2" name="Button 11">
              <controlPr defaultSize="0" print="0" autoFill="0" autoPict="0" macro="[0]!Guardar_y_Salir">
                <anchor moveWithCells="1" sizeWithCells="1">
                  <from>
                    <xdr:col>8</xdr:col>
                    <xdr:colOff>257175</xdr:colOff>
                    <xdr:row>22</xdr:row>
                    <xdr:rowOff>95250</xdr:rowOff>
                  </from>
                  <to>
                    <xdr:col>11</xdr:col>
                    <xdr:colOff>19050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67EF9-A732-4645-B68A-94AD8D1C2C78}">
  <sheetPr codeName="Hoja3"/>
  <dimension ref="A1:J34"/>
  <sheetViews>
    <sheetView showGridLines="0" topLeftCell="A14" workbookViewId="0">
      <selection activeCell="I15" sqref="I15:I34"/>
    </sheetView>
  </sheetViews>
  <sheetFormatPr baseColWidth="10" defaultRowHeight="15" x14ac:dyDescent="0.25"/>
  <cols>
    <col min="1" max="2" width="11.42578125" style="11"/>
    <col min="3" max="3" width="13.85546875" style="11" customWidth="1"/>
    <col min="4" max="6" width="11.42578125" style="11"/>
    <col min="7" max="7" width="19.42578125" style="11" bestFit="1" customWidth="1"/>
    <col min="8" max="8" width="15.28515625" style="11" customWidth="1"/>
    <col min="9" max="9" width="12.5703125" style="11" bestFit="1" customWidth="1"/>
    <col min="10" max="10" width="11.42578125" style="11"/>
  </cols>
  <sheetData>
    <row r="1" spans="1:10" s="14" customFormat="1" x14ac:dyDescent="0.25">
      <c r="A1" s="11"/>
      <c r="B1" s="12">
        <f>COUNT(Parametros!A13:A1048569)+1001</f>
        <v>1021</v>
      </c>
      <c r="C1" s="13" t="s">
        <v>29</v>
      </c>
      <c r="D1" s="76"/>
      <c r="E1" s="48"/>
      <c r="F1" s="48"/>
      <c r="G1" s="11"/>
      <c r="H1" s="11"/>
      <c r="I1" s="11"/>
      <c r="J1" s="11"/>
    </row>
    <row r="2" spans="1:10" s="14" customFormat="1" x14ac:dyDescent="0.25">
      <c r="A2" s="11"/>
      <c r="B2" s="11"/>
      <c r="C2" s="13" t="s">
        <v>57</v>
      </c>
      <c r="D2" s="76"/>
      <c r="E2" s="48"/>
      <c r="F2" s="48"/>
      <c r="G2" s="11"/>
      <c r="H2" s="11"/>
      <c r="I2" s="11"/>
      <c r="J2" s="11"/>
    </row>
    <row r="3" spans="1:10" s="14" customFormat="1" x14ac:dyDescent="0.25">
      <c r="A3" s="11"/>
      <c r="B3" s="11"/>
      <c r="C3" s="13" t="s">
        <v>58</v>
      </c>
      <c r="D3" s="76"/>
      <c r="E3" s="48"/>
      <c r="F3" s="48"/>
      <c r="G3" s="11"/>
      <c r="H3" s="11"/>
      <c r="I3" s="11"/>
      <c r="J3" s="11"/>
    </row>
    <row r="4" spans="1:10" s="14" customFormat="1" x14ac:dyDescent="0.25">
      <c r="A4" s="11"/>
      <c r="B4" s="11"/>
      <c r="C4" s="13" t="s">
        <v>55</v>
      </c>
      <c r="D4" s="76"/>
      <c r="E4" s="48"/>
      <c r="F4" s="48"/>
      <c r="G4" s="11"/>
      <c r="H4" s="11"/>
      <c r="I4" s="11"/>
      <c r="J4" s="11"/>
    </row>
    <row r="5" spans="1:10" s="14" customFormat="1" x14ac:dyDescent="0.25">
      <c r="A5" s="11"/>
      <c r="B5" s="11"/>
      <c r="C5" s="13" t="s">
        <v>56</v>
      </c>
      <c r="D5" s="76"/>
      <c r="E5" s="48"/>
      <c r="F5" s="48"/>
      <c r="G5" s="11"/>
      <c r="H5" s="11"/>
      <c r="I5" s="11"/>
      <c r="J5" s="11"/>
    </row>
    <row r="6" spans="1:10" s="14" customFormat="1" x14ac:dyDescent="0.25">
      <c r="A6" s="11"/>
      <c r="B6" s="11"/>
      <c r="C6" s="13" t="s">
        <v>59</v>
      </c>
      <c r="D6" s="76"/>
      <c r="E6" s="48"/>
      <c r="F6" s="48"/>
      <c r="G6" s="11"/>
      <c r="H6" s="11"/>
      <c r="I6" s="11"/>
      <c r="J6" s="11"/>
    </row>
    <row r="7" spans="1:10" s="14" customFormat="1" x14ac:dyDescent="0.25">
      <c r="A7" s="11"/>
      <c r="B7" s="11"/>
      <c r="C7" s="13" t="s">
        <v>30</v>
      </c>
      <c r="D7" s="76"/>
      <c r="E7" s="48"/>
      <c r="F7" s="48"/>
      <c r="G7" s="11"/>
      <c r="H7" s="11"/>
      <c r="I7" s="11"/>
      <c r="J7" s="11"/>
    </row>
    <row r="8" spans="1:10" s="14" customFormat="1" x14ac:dyDescent="0.25">
      <c r="A8" s="11"/>
      <c r="B8" s="11"/>
      <c r="C8" s="13" t="s">
        <v>31</v>
      </c>
      <c r="D8" s="77"/>
      <c r="E8" s="48"/>
      <c r="F8" s="48"/>
      <c r="G8" s="11"/>
      <c r="H8" s="11"/>
      <c r="I8" s="11"/>
      <c r="J8" s="11"/>
    </row>
    <row r="9" spans="1:10" s="14" customFormat="1" x14ac:dyDescent="0.25">
      <c r="A9" s="11"/>
      <c r="B9" s="11"/>
      <c r="C9" s="13" t="s">
        <v>1</v>
      </c>
      <c r="D9" s="78"/>
      <c r="E9" s="48"/>
      <c r="F9" s="48"/>
      <c r="G9" s="11"/>
      <c r="H9" s="11"/>
      <c r="I9" s="11"/>
      <c r="J9" s="11"/>
    </row>
    <row r="10" spans="1:10" s="14" customFormat="1" x14ac:dyDescent="0.25">
      <c r="A10" s="11"/>
      <c r="B10" s="11"/>
      <c r="C10" s="13" t="s">
        <v>32</v>
      </c>
      <c r="D10" s="76"/>
      <c r="E10" s="48"/>
      <c r="F10" s="48"/>
      <c r="G10" s="11"/>
      <c r="H10" s="11"/>
      <c r="I10" s="11"/>
      <c r="J10" s="11"/>
    </row>
    <row r="11" spans="1:10" s="14" customFormat="1" x14ac:dyDescent="0.25">
      <c r="A11" s="11"/>
      <c r="B11" s="11"/>
      <c r="C11" s="11"/>
      <c r="D11" s="11"/>
      <c r="E11" s="11"/>
      <c r="F11" s="11"/>
      <c r="G11" s="11"/>
      <c r="H11" s="11"/>
      <c r="I11" s="11"/>
      <c r="J11" s="11"/>
    </row>
    <row r="12" spans="1:10" s="14" customFormat="1" x14ac:dyDescent="0.25">
      <c r="A12" s="11"/>
      <c r="B12" s="11"/>
      <c r="C12" s="11"/>
      <c r="D12" s="11"/>
      <c r="E12" s="11"/>
      <c r="F12" s="11"/>
      <c r="G12" s="11"/>
      <c r="H12" s="11"/>
      <c r="I12" s="11"/>
      <c r="J12" s="11"/>
    </row>
    <row r="13" spans="1:10" x14ac:dyDescent="0.25">
      <c r="A13" s="79" t="s">
        <v>29</v>
      </c>
      <c r="B13" s="79" t="s">
        <v>57</v>
      </c>
      <c r="C13" s="79" t="s">
        <v>58</v>
      </c>
      <c r="D13" s="79" t="s">
        <v>55</v>
      </c>
      <c r="E13" s="79" t="s">
        <v>56</v>
      </c>
      <c r="F13" s="79" t="s">
        <v>59</v>
      </c>
      <c r="G13" s="79" t="s">
        <v>30</v>
      </c>
      <c r="H13" s="79" t="s">
        <v>31</v>
      </c>
      <c r="I13" s="79" t="s">
        <v>1</v>
      </c>
      <c r="J13" s="79" t="s">
        <v>32</v>
      </c>
    </row>
    <row r="14" spans="1:10" x14ac:dyDescent="0.25">
      <c r="A14" s="76"/>
      <c r="B14" s="76"/>
      <c r="C14" s="76"/>
      <c r="D14" s="76"/>
      <c r="E14" s="76"/>
      <c r="F14" s="76"/>
      <c r="G14" s="76"/>
      <c r="H14" s="77"/>
      <c r="I14" s="78"/>
      <c r="J14" s="76"/>
    </row>
    <row r="15" spans="1:10" x14ac:dyDescent="0.25">
      <c r="A15" s="79">
        <v>1001</v>
      </c>
      <c r="B15" s="79" t="s">
        <v>2</v>
      </c>
      <c r="C15" s="79"/>
      <c r="D15" s="79"/>
      <c r="E15" s="79"/>
      <c r="F15" s="79"/>
      <c r="G15" s="79" t="s">
        <v>34</v>
      </c>
      <c r="H15" s="80">
        <v>45002</v>
      </c>
      <c r="I15" s="81">
        <v>398000</v>
      </c>
      <c r="J15" s="79" t="s">
        <v>40</v>
      </c>
    </row>
    <row r="16" spans="1:10" x14ac:dyDescent="0.25">
      <c r="A16" s="79">
        <v>1002</v>
      </c>
      <c r="B16" s="79" t="s">
        <v>3</v>
      </c>
      <c r="C16" s="79"/>
      <c r="D16" s="79"/>
      <c r="E16" s="79"/>
      <c r="F16" s="79"/>
      <c r="G16" s="79" t="s">
        <v>34</v>
      </c>
      <c r="H16" s="80">
        <v>44638</v>
      </c>
      <c r="I16" s="81">
        <v>250000</v>
      </c>
      <c r="J16" s="79" t="s">
        <v>40</v>
      </c>
    </row>
    <row r="17" spans="1:10" x14ac:dyDescent="0.25">
      <c r="A17" s="79">
        <v>1003</v>
      </c>
      <c r="B17" s="79" t="s">
        <v>11</v>
      </c>
      <c r="C17" s="79"/>
      <c r="D17" s="79"/>
      <c r="E17" s="79"/>
      <c r="F17" s="79"/>
      <c r="G17" s="79" t="s">
        <v>36</v>
      </c>
      <c r="H17" s="80">
        <v>43909</v>
      </c>
      <c r="I17" s="81">
        <v>285000</v>
      </c>
      <c r="J17" s="79" t="s">
        <v>40</v>
      </c>
    </row>
    <row r="18" spans="1:10" x14ac:dyDescent="0.25">
      <c r="A18" s="79">
        <v>1004</v>
      </c>
      <c r="B18" s="79" t="s">
        <v>12</v>
      </c>
      <c r="C18" s="79"/>
      <c r="D18" s="79"/>
      <c r="E18" s="79"/>
      <c r="F18" s="79"/>
      <c r="G18" s="79" t="s">
        <v>35</v>
      </c>
      <c r="H18" s="80">
        <v>44275</v>
      </c>
      <c r="I18" s="81">
        <v>128742.857142858</v>
      </c>
      <c r="J18" s="79" t="s">
        <v>40</v>
      </c>
    </row>
    <row r="19" spans="1:10" x14ac:dyDescent="0.25">
      <c r="A19" s="79">
        <v>1005</v>
      </c>
      <c r="B19" s="79" t="s">
        <v>13</v>
      </c>
      <c r="C19" s="79"/>
      <c r="D19" s="79"/>
      <c r="E19" s="79"/>
      <c r="F19" s="79"/>
      <c r="G19" s="79" t="s">
        <v>37</v>
      </c>
      <c r="H19" s="80">
        <v>45006</v>
      </c>
      <c r="I19" s="81">
        <v>239514.285714286</v>
      </c>
      <c r="J19" s="79" t="s">
        <v>40</v>
      </c>
    </row>
    <row r="20" spans="1:10" x14ac:dyDescent="0.25">
      <c r="A20" s="79">
        <v>1006</v>
      </c>
      <c r="B20" s="79" t="s">
        <v>14</v>
      </c>
      <c r="C20" s="79"/>
      <c r="D20" s="79"/>
      <c r="E20" s="79"/>
      <c r="F20" s="79"/>
      <c r="G20" s="79" t="s">
        <v>34</v>
      </c>
      <c r="H20" s="80">
        <v>45373</v>
      </c>
      <c r="I20" s="81">
        <v>350285.71428571898</v>
      </c>
      <c r="J20" s="79" t="s">
        <v>40</v>
      </c>
    </row>
    <row r="21" spans="1:10" x14ac:dyDescent="0.25">
      <c r="A21" s="79">
        <v>1007</v>
      </c>
      <c r="B21" s="79" t="s">
        <v>15</v>
      </c>
      <c r="C21" s="79"/>
      <c r="D21" s="79"/>
      <c r="E21" s="79"/>
      <c r="F21" s="79"/>
      <c r="G21" s="79" t="s">
        <v>33</v>
      </c>
      <c r="H21" s="80">
        <v>45374</v>
      </c>
      <c r="I21" s="81">
        <v>461057.142857139</v>
      </c>
      <c r="J21" s="79" t="s">
        <v>40</v>
      </c>
    </row>
    <row r="22" spans="1:10" x14ac:dyDescent="0.25">
      <c r="A22" s="79">
        <v>1008</v>
      </c>
      <c r="B22" s="79" t="s">
        <v>16</v>
      </c>
      <c r="C22" s="79"/>
      <c r="D22" s="79"/>
      <c r="E22" s="79"/>
      <c r="F22" s="79"/>
      <c r="G22" s="79" t="s">
        <v>35</v>
      </c>
      <c r="H22" s="80">
        <v>44644</v>
      </c>
      <c r="I22" s="81">
        <v>571828.57142856903</v>
      </c>
      <c r="J22" s="79" t="s">
        <v>40</v>
      </c>
    </row>
    <row r="23" spans="1:10" x14ac:dyDescent="0.25">
      <c r="A23" s="79">
        <v>1009</v>
      </c>
      <c r="B23" s="79" t="s">
        <v>17</v>
      </c>
      <c r="C23" s="79"/>
      <c r="D23" s="79"/>
      <c r="E23" s="79"/>
      <c r="F23" s="79"/>
      <c r="G23" s="79" t="s">
        <v>35</v>
      </c>
      <c r="H23" s="80">
        <v>45102</v>
      </c>
      <c r="I23" s="81">
        <v>682599.99999999895</v>
      </c>
      <c r="J23" s="79" t="s">
        <v>40</v>
      </c>
    </row>
    <row r="24" spans="1:10" x14ac:dyDescent="0.25">
      <c r="A24" s="79">
        <v>1010</v>
      </c>
      <c r="B24" s="79" t="s">
        <v>18</v>
      </c>
      <c r="C24" s="79"/>
      <c r="D24" s="79"/>
      <c r="E24" s="79"/>
      <c r="F24" s="79"/>
      <c r="G24" s="79" t="s">
        <v>35</v>
      </c>
      <c r="H24" s="80">
        <v>45011</v>
      </c>
      <c r="I24" s="81">
        <v>793371.42857142899</v>
      </c>
      <c r="J24" s="79" t="s">
        <v>40</v>
      </c>
    </row>
    <row r="25" spans="1:10" x14ac:dyDescent="0.25">
      <c r="A25" s="79">
        <v>1011</v>
      </c>
      <c r="B25" s="79" t="s">
        <v>19</v>
      </c>
      <c r="C25" s="79"/>
      <c r="D25" s="79"/>
      <c r="E25" s="79"/>
      <c r="F25" s="79"/>
      <c r="G25" s="79" t="s">
        <v>38</v>
      </c>
      <c r="H25" s="80">
        <v>45012</v>
      </c>
      <c r="I25" s="81">
        <v>904142.85714285902</v>
      </c>
      <c r="J25" s="79" t="s">
        <v>40</v>
      </c>
    </row>
    <row r="26" spans="1:10" x14ac:dyDescent="0.25">
      <c r="A26" s="79">
        <v>1012</v>
      </c>
      <c r="B26" s="79" t="s">
        <v>20</v>
      </c>
      <c r="C26" s="79"/>
      <c r="D26" s="79"/>
      <c r="E26" s="79"/>
      <c r="F26" s="79"/>
      <c r="G26" s="79" t="s">
        <v>38</v>
      </c>
      <c r="H26" s="80">
        <v>44985</v>
      </c>
      <c r="I26" s="81">
        <v>101494.28571431999</v>
      </c>
      <c r="J26" s="79" t="s">
        <v>40</v>
      </c>
    </row>
    <row r="27" spans="1:10" x14ac:dyDescent="0.25">
      <c r="A27" s="79">
        <v>1013</v>
      </c>
      <c r="B27" s="79" t="s">
        <v>21</v>
      </c>
      <c r="C27" s="79"/>
      <c r="D27" s="79"/>
      <c r="E27" s="79"/>
      <c r="F27" s="79"/>
      <c r="G27" s="79" t="s">
        <v>39</v>
      </c>
      <c r="H27" s="80">
        <v>44977</v>
      </c>
      <c r="I27" s="81">
        <v>112565.71428575</v>
      </c>
      <c r="J27" s="79" t="s">
        <v>40</v>
      </c>
    </row>
    <row r="28" spans="1:10" x14ac:dyDescent="0.25">
      <c r="A28" s="79">
        <v>1014</v>
      </c>
      <c r="B28" s="79" t="s">
        <v>22</v>
      </c>
      <c r="C28" s="79"/>
      <c r="D28" s="79"/>
      <c r="E28" s="79"/>
      <c r="F28" s="79"/>
      <c r="G28" s="79" t="s">
        <v>39</v>
      </c>
      <c r="H28" s="80">
        <v>44972</v>
      </c>
      <c r="I28" s="81">
        <v>123647.14285718001</v>
      </c>
      <c r="J28" s="79" t="s">
        <v>40</v>
      </c>
    </row>
    <row r="29" spans="1:10" x14ac:dyDescent="0.25">
      <c r="A29" s="79">
        <v>1015</v>
      </c>
      <c r="B29" s="79" t="s">
        <v>23</v>
      </c>
      <c r="C29" s="79"/>
      <c r="D29" s="79"/>
      <c r="E29" s="79"/>
      <c r="F29" s="79"/>
      <c r="G29" s="79" t="s">
        <v>35</v>
      </c>
      <c r="H29" s="80">
        <v>44957</v>
      </c>
      <c r="I29" s="81">
        <v>134728.57142861999</v>
      </c>
      <c r="J29" s="79" t="s">
        <v>40</v>
      </c>
    </row>
    <row r="30" spans="1:10" x14ac:dyDescent="0.25">
      <c r="A30" s="79">
        <v>1016</v>
      </c>
      <c r="B30" s="79" t="s">
        <v>24</v>
      </c>
      <c r="C30" s="79"/>
      <c r="D30" s="79"/>
      <c r="E30" s="79"/>
      <c r="F30" s="79"/>
      <c r="G30" s="79" t="s">
        <v>35</v>
      </c>
      <c r="H30" s="80">
        <v>45017</v>
      </c>
      <c r="I30" s="81">
        <v>145800.00000005</v>
      </c>
      <c r="J30" s="79" t="s">
        <v>40</v>
      </c>
    </row>
    <row r="31" spans="1:10" x14ac:dyDescent="0.25">
      <c r="A31" s="79">
        <v>1017</v>
      </c>
      <c r="B31" s="79" t="s">
        <v>25</v>
      </c>
      <c r="C31" s="79"/>
      <c r="D31" s="79"/>
      <c r="E31" s="79"/>
      <c r="F31" s="79"/>
      <c r="G31" s="79" t="s">
        <v>54</v>
      </c>
      <c r="H31" s="80">
        <v>45659</v>
      </c>
      <c r="I31" s="81">
        <v>500000</v>
      </c>
      <c r="J31" s="79" t="s">
        <v>40</v>
      </c>
    </row>
    <row r="32" spans="1:10" x14ac:dyDescent="0.25">
      <c r="A32" s="79">
        <v>1018</v>
      </c>
      <c r="B32" s="79" t="s">
        <v>26</v>
      </c>
      <c r="C32" s="79"/>
      <c r="D32" s="79"/>
      <c r="E32" s="79"/>
      <c r="F32" s="79"/>
      <c r="G32" s="79" t="s">
        <v>35</v>
      </c>
      <c r="H32" s="80">
        <v>44957</v>
      </c>
      <c r="I32" s="81">
        <v>134728.57142861999</v>
      </c>
      <c r="J32" s="79" t="s">
        <v>40</v>
      </c>
    </row>
    <row r="33" spans="1:10" x14ac:dyDescent="0.25">
      <c r="A33" s="79">
        <v>1019</v>
      </c>
      <c r="B33" s="79" t="s">
        <v>27</v>
      </c>
      <c r="C33" s="79"/>
      <c r="D33" s="79"/>
      <c r="E33" s="79"/>
      <c r="F33" s="79"/>
      <c r="G33" s="79" t="s">
        <v>35</v>
      </c>
      <c r="H33" s="80">
        <v>45017</v>
      </c>
      <c r="I33" s="81">
        <v>145800.00000005</v>
      </c>
      <c r="J33" s="79" t="s">
        <v>40</v>
      </c>
    </row>
    <row r="34" spans="1:10" x14ac:dyDescent="0.25">
      <c r="A34" s="79">
        <v>1020</v>
      </c>
      <c r="B34" s="79" t="s">
        <v>53</v>
      </c>
      <c r="C34" s="79" t="s">
        <v>60</v>
      </c>
      <c r="D34" s="79" t="s">
        <v>61</v>
      </c>
      <c r="E34" s="79" t="s">
        <v>62</v>
      </c>
      <c r="F34" s="79">
        <v>207540376</v>
      </c>
      <c r="G34" s="79" t="s">
        <v>54</v>
      </c>
      <c r="H34" s="80">
        <v>45659</v>
      </c>
      <c r="I34" s="81">
        <v>500000</v>
      </c>
      <c r="J34" s="79" t="s">
        <v>40</v>
      </c>
    </row>
  </sheetData>
  <phoneticPr fontId="4" type="noConversion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Feriados">
                <anchor moveWithCells="1" sizeWithCells="1">
                  <from>
                    <xdr:col>7</xdr:col>
                    <xdr:colOff>647700</xdr:colOff>
                    <xdr:row>0</xdr:row>
                    <xdr:rowOff>161925</xdr:rowOff>
                  </from>
                  <to>
                    <xdr:col>9</xdr:col>
                    <xdr:colOff>161925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Menu">
                <anchor moveWithCells="1" sizeWithCells="1">
                  <from>
                    <xdr:col>7</xdr:col>
                    <xdr:colOff>609600</xdr:colOff>
                    <xdr:row>4</xdr:row>
                    <xdr:rowOff>19050</xdr:rowOff>
                  </from>
                  <to>
                    <xdr:col>8</xdr:col>
                    <xdr:colOff>714375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30AC8-850C-4D9D-B7AB-DF72B811D12E}">
  <dimension ref="A1:AS36"/>
  <sheetViews>
    <sheetView tabSelected="1" zoomScale="70" zoomScaleNormal="70" workbookViewId="0">
      <selection activeCell="G2" sqref="G2"/>
    </sheetView>
  </sheetViews>
  <sheetFormatPr baseColWidth="10" defaultRowHeight="15" x14ac:dyDescent="0.25"/>
  <cols>
    <col min="1" max="1" width="8.140625" bestFit="1" customWidth="1"/>
    <col min="2" max="2" width="13.42578125" bestFit="1" customWidth="1"/>
    <col min="3" max="3" width="5.85546875" customWidth="1"/>
    <col min="4" max="4" width="8.5703125" customWidth="1"/>
    <col min="5" max="5" width="13.42578125" customWidth="1"/>
    <col min="6" max="6" width="20" customWidth="1"/>
    <col min="7" max="7" width="12" customWidth="1"/>
    <col min="8" max="8" width="18" customWidth="1"/>
    <col min="9" max="9" width="17.42578125" bestFit="1" customWidth="1"/>
    <col min="10" max="10" width="11" customWidth="1"/>
    <col min="11" max="11" width="8.7109375" customWidth="1"/>
    <col min="12" max="12" width="19.5703125" bestFit="1" customWidth="1"/>
    <col min="13" max="13" width="22.140625" customWidth="1"/>
    <col min="14" max="15" width="17.85546875" bestFit="1" customWidth="1"/>
    <col min="16" max="16" width="16.42578125" bestFit="1" customWidth="1"/>
    <col min="17" max="17" width="17.85546875" bestFit="1" customWidth="1"/>
    <col min="18" max="30" width="22.140625" customWidth="1"/>
  </cols>
  <sheetData>
    <row r="1" spans="1:45" x14ac:dyDescent="0.25">
      <c r="B1" s="121" t="s">
        <v>127</v>
      </c>
      <c r="C1" s="121"/>
      <c r="F1" s="122"/>
      <c r="G1" s="122"/>
      <c r="H1" s="123"/>
      <c r="I1" s="122"/>
      <c r="J1" s="124"/>
      <c r="K1" s="124"/>
    </row>
    <row r="2" spans="1:45" ht="15.75" thickBot="1" x14ac:dyDescent="0.3">
      <c r="B2" s="121"/>
      <c r="C2" s="121"/>
      <c r="F2" s="122"/>
      <c r="G2" s="122"/>
      <c r="H2" s="125"/>
      <c r="I2" s="122"/>
      <c r="J2" s="126"/>
      <c r="K2" s="126"/>
    </row>
    <row r="3" spans="1:45" ht="15.75" thickBot="1" x14ac:dyDescent="0.3">
      <c r="B3" s="148"/>
      <c r="C3" s="148"/>
      <c r="F3" s="122"/>
      <c r="G3" s="122"/>
      <c r="H3" s="127"/>
      <c r="I3" s="128"/>
      <c r="J3" s="126"/>
      <c r="M3" s="132">
        <v>0.46339999999999998</v>
      </c>
      <c r="N3" s="132">
        <v>0.10340000000000001</v>
      </c>
      <c r="O3" s="132">
        <v>8.3299999999999999E-2</v>
      </c>
      <c r="P3" s="132">
        <v>4.07E-2</v>
      </c>
      <c r="AI3" s="98"/>
      <c r="AJ3" s="135" t="s">
        <v>143</v>
      </c>
      <c r="AK3" s="135"/>
      <c r="AL3" s="136" t="s">
        <v>144</v>
      </c>
    </row>
    <row r="4" spans="1:45" ht="34.5" customHeight="1" x14ac:dyDescent="0.25">
      <c r="A4" s="149" t="s">
        <v>28</v>
      </c>
      <c r="B4" s="144" t="s">
        <v>128</v>
      </c>
      <c r="C4" s="144" t="s">
        <v>129</v>
      </c>
      <c r="D4" s="147" t="s">
        <v>180</v>
      </c>
      <c r="E4" s="144" t="s">
        <v>130</v>
      </c>
      <c r="F4" s="145" t="s">
        <v>131</v>
      </c>
      <c r="G4" s="145" t="s">
        <v>132</v>
      </c>
      <c r="H4" s="145" t="s">
        <v>133</v>
      </c>
      <c r="I4" s="145" t="s">
        <v>134</v>
      </c>
      <c r="J4" s="145" t="s">
        <v>135</v>
      </c>
      <c r="K4" s="145" t="s">
        <v>136</v>
      </c>
      <c r="L4" s="146" t="s">
        <v>137</v>
      </c>
      <c r="M4" s="146" t="s">
        <v>139</v>
      </c>
      <c r="N4" s="146" t="s">
        <v>140</v>
      </c>
      <c r="O4" s="146" t="s">
        <v>141</v>
      </c>
      <c r="P4" s="146" t="s">
        <v>10</v>
      </c>
      <c r="Q4" s="146" t="s">
        <v>142</v>
      </c>
      <c r="AI4" s="137" t="s">
        <v>145</v>
      </c>
      <c r="AJ4" s="138">
        <v>30</v>
      </c>
      <c r="AK4" s="138"/>
      <c r="AL4" s="139"/>
      <c r="AN4" s="140" t="s">
        <v>146</v>
      </c>
      <c r="AO4" s="141"/>
      <c r="AP4" s="141"/>
      <c r="AQ4" s="141"/>
      <c r="AR4" s="142" t="s">
        <v>147</v>
      </c>
      <c r="AS4" s="143"/>
    </row>
    <row r="5" spans="1:45" s="3" customFormat="1" x14ac:dyDescent="0.25">
      <c r="A5" s="9">
        <v>1001</v>
      </c>
      <c r="B5" s="9" t="s">
        <v>2</v>
      </c>
      <c r="C5" s="150"/>
      <c r="D5" s="151" t="s">
        <v>34</v>
      </c>
      <c r="E5" s="150" t="s">
        <v>179</v>
      </c>
      <c r="F5" s="152">
        <v>398000</v>
      </c>
      <c r="G5" s="153">
        <v>48</v>
      </c>
      <c r="H5" s="152">
        <v>0</v>
      </c>
      <c r="I5" s="152"/>
      <c r="J5" s="152"/>
      <c r="K5" s="152"/>
      <c r="L5" s="154">
        <f>F5+I5-J5-K5</f>
        <v>398000</v>
      </c>
      <c r="M5" s="154">
        <f>L5*$M$3</f>
        <v>184433.19999999998</v>
      </c>
      <c r="N5" s="154">
        <f>L5*$N$3</f>
        <v>41153.200000000004</v>
      </c>
      <c r="O5" s="154">
        <f>L5*$O$3</f>
        <v>33153.4</v>
      </c>
      <c r="P5" s="154">
        <f>L5*$P$3</f>
        <v>16198.6</v>
      </c>
      <c r="Q5" s="154">
        <f>L5-M5-N5-O5-P5</f>
        <v>123061.6</v>
      </c>
      <c r="AI5" s="155" t="s">
        <v>148</v>
      </c>
      <c r="AJ5" s="3">
        <v>240</v>
      </c>
      <c r="AK5" s="3" t="s">
        <v>149</v>
      </c>
      <c r="AL5" s="156"/>
      <c r="AN5" s="155" t="s">
        <v>150</v>
      </c>
      <c r="AO5" s="3">
        <v>3</v>
      </c>
      <c r="AP5" s="157">
        <f>AJ17</f>
        <v>12000</v>
      </c>
      <c r="AQ5" s="158">
        <f>AP5*AO5</f>
        <v>36000</v>
      </c>
      <c r="AR5" s="159">
        <v>0.4</v>
      </c>
      <c r="AS5" s="156">
        <f>AR5*AQ5</f>
        <v>14400</v>
      </c>
    </row>
    <row r="6" spans="1:45" s="3" customFormat="1" x14ac:dyDescent="0.25">
      <c r="A6" s="9">
        <v>1002</v>
      </c>
      <c r="B6" s="9" t="s">
        <v>3</v>
      </c>
      <c r="C6" s="150"/>
      <c r="D6" s="151" t="s">
        <v>34</v>
      </c>
      <c r="E6" s="150" t="s">
        <v>179</v>
      </c>
      <c r="F6" s="152">
        <v>250000</v>
      </c>
      <c r="G6" s="153">
        <v>48</v>
      </c>
      <c r="H6" s="152">
        <v>0</v>
      </c>
      <c r="I6" s="152"/>
      <c r="J6" s="152"/>
      <c r="K6" s="152"/>
      <c r="L6" s="154">
        <f t="shared" ref="L6:L24" si="0">F6+I6-J6-K6</f>
        <v>250000</v>
      </c>
      <c r="M6" s="154">
        <f t="shared" ref="M6:M24" si="1">L6*$M$3</f>
        <v>115850</v>
      </c>
      <c r="N6" s="154">
        <f t="shared" ref="N6:N24" si="2">L6*$N$3</f>
        <v>25850</v>
      </c>
      <c r="O6" s="154">
        <f t="shared" ref="O6:O24" si="3">L6*$O$3</f>
        <v>20825</v>
      </c>
      <c r="P6" s="154">
        <f t="shared" ref="P6:P24" si="4">L6*$P$3</f>
        <v>10175</v>
      </c>
      <c r="Q6" s="154">
        <f t="shared" ref="Q6:Q24" si="5">L6-M6-N6-O6-P6</f>
        <v>77300</v>
      </c>
      <c r="AI6" s="155"/>
      <c r="AK6" s="160"/>
      <c r="AL6" s="161"/>
      <c r="AN6" s="155"/>
      <c r="AO6" s="3">
        <v>2</v>
      </c>
      <c r="AP6" s="157">
        <f>AP5</f>
        <v>12000</v>
      </c>
      <c r="AQ6" s="158">
        <f>AP6*AO6</f>
        <v>24000</v>
      </c>
      <c r="AR6" s="159">
        <v>1</v>
      </c>
      <c r="AS6" s="156">
        <f>AQ6</f>
        <v>24000</v>
      </c>
    </row>
    <row r="7" spans="1:45" s="3" customFormat="1" ht="15.75" thickBot="1" x14ac:dyDescent="0.3">
      <c r="A7" s="9">
        <v>1003</v>
      </c>
      <c r="B7" s="9" t="s">
        <v>11</v>
      </c>
      <c r="C7" s="150"/>
      <c r="D7" s="151" t="s">
        <v>36</v>
      </c>
      <c r="E7" s="150" t="s">
        <v>179</v>
      </c>
      <c r="F7" s="152">
        <v>285000</v>
      </c>
      <c r="G7" s="153">
        <v>48</v>
      </c>
      <c r="H7" s="152">
        <v>0</v>
      </c>
      <c r="I7" s="152"/>
      <c r="J7" s="152"/>
      <c r="K7" s="152"/>
      <c r="L7" s="154">
        <f t="shared" si="0"/>
        <v>285000</v>
      </c>
      <c r="M7" s="154">
        <f t="shared" si="1"/>
        <v>132069</v>
      </c>
      <c r="N7" s="154">
        <f t="shared" si="2"/>
        <v>29469</v>
      </c>
      <c r="O7" s="154">
        <f t="shared" si="3"/>
        <v>23740.5</v>
      </c>
      <c r="P7" s="154">
        <f t="shared" si="4"/>
        <v>11599.5</v>
      </c>
      <c r="Q7" s="154">
        <f t="shared" si="5"/>
        <v>88122</v>
      </c>
      <c r="AI7" s="155" t="s">
        <v>131</v>
      </c>
      <c r="AJ7" s="160">
        <v>0</v>
      </c>
      <c r="AK7" s="160" t="s">
        <v>151</v>
      </c>
      <c r="AL7" s="156"/>
      <c r="AN7" s="162"/>
      <c r="AO7" s="163">
        <f>AO6+AO5</f>
        <v>5</v>
      </c>
      <c r="AP7" s="163"/>
      <c r="AQ7" s="163"/>
      <c r="AR7" s="164"/>
      <c r="AS7" s="165">
        <f>AS5+AS6</f>
        <v>38400</v>
      </c>
    </row>
    <row r="8" spans="1:45" s="3" customFormat="1" ht="15.75" thickBot="1" x14ac:dyDescent="0.3">
      <c r="A8" s="9">
        <v>1004</v>
      </c>
      <c r="B8" s="9" t="s">
        <v>12</v>
      </c>
      <c r="C8" s="150"/>
      <c r="D8" s="151" t="s">
        <v>35</v>
      </c>
      <c r="E8" s="150" t="s">
        <v>179</v>
      </c>
      <c r="F8" s="152">
        <v>128742.857142858</v>
      </c>
      <c r="G8" s="153">
        <v>48</v>
      </c>
      <c r="H8" s="152">
        <v>0</v>
      </c>
      <c r="I8" s="152"/>
      <c r="J8" s="152"/>
      <c r="K8" s="152"/>
      <c r="L8" s="154">
        <f t="shared" si="0"/>
        <v>128742.857142858</v>
      </c>
      <c r="M8" s="154">
        <f t="shared" si="1"/>
        <v>59659.440000000395</v>
      </c>
      <c r="N8" s="154">
        <f t="shared" si="2"/>
        <v>13312.011428571519</v>
      </c>
      <c r="O8" s="154">
        <f t="shared" si="3"/>
        <v>10724.280000000072</v>
      </c>
      <c r="P8" s="154">
        <f t="shared" si="4"/>
        <v>5239.8342857143207</v>
      </c>
      <c r="Q8" s="154">
        <f t="shared" si="5"/>
        <v>39807.291428571698</v>
      </c>
      <c r="AI8" s="155" t="s">
        <v>152</v>
      </c>
      <c r="AJ8" s="157">
        <f>AJ7/AJ4</f>
        <v>0</v>
      </c>
      <c r="AK8" s="166" t="s">
        <v>153</v>
      </c>
      <c r="AL8" s="156" t="s">
        <v>154</v>
      </c>
      <c r="AN8" s="167" t="s">
        <v>155</v>
      </c>
      <c r="AO8" s="168">
        <v>0</v>
      </c>
      <c r="AP8" s="169">
        <f>AP5</f>
        <v>12000</v>
      </c>
      <c r="AQ8" s="170">
        <f>AP8*AO8</f>
        <v>0</v>
      </c>
      <c r="AR8" s="171">
        <v>1</v>
      </c>
      <c r="AS8" s="172">
        <f>AQ8*AR8</f>
        <v>0</v>
      </c>
    </row>
    <row r="9" spans="1:45" s="3" customFormat="1" ht="18" thickBot="1" x14ac:dyDescent="0.45">
      <c r="A9" s="9">
        <v>1005</v>
      </c>
      <c r="B9" s="9" t="s">
        <v>13</v>
      </c>
      <c r="C9" s="150"/>
      <c r="D9" s="151" t="s">
        <v>37</v>
      </c>
      <c r="E9" s="150" t="s">
        <v>179</v>
      </c>
      <c r="F9" s="152">
        <v>239514.285714286</v>
      </c>
      <c r="G9" s="153">
        <v>48</v>
      </c>
      <c r="H9" s="152">
        <v>0</v>
      </c>
      <c r="I9" s="152"/>
      <c r="J9" s="152"/>
      <c r="K9" s="152"/>
      <c r="L9" s="154">
        <f t="shared" si="0"/>
        <v>239514.285714286</v>
      </c>
      <c r="M9" s="154">
        <f t="shared" si="1"/>
        <v>110990.92000000013</v>
      </c>
      <c r="N9" s="154">
        <f t="shared" si="2"/>
        <v>24765.777142857172</v>
      </c>
      <c r="O9" s="154">
        <f t="shared" si="3"/>
        <v>19951.540000000023</v>
      </c>
      <c r="P9" s="154">
        <f t="shared" si="4"/>
        <v>9748.2314285714401</v>
      </c>
      <c r="Q9" s="154">
        <f t="shared" si="5"/>
        <v>74057.817142857239</v>
      </c>
      <c r="AI9" s="155" t="s">
        <v>156</v>
      </c>
      <c r="AJ9" s="157">
        <f>AJ8/8</f>
        <v>0</v>
      </c>
      <c r="AK9" s="166" t="s">
        <v>157</v>
      </c>
      <c r="AL9" s="173">
        <v>0</v>
      </c>
      <c r="AN9" s="167" t="s">
        <v>158</v>
      </c>
      <c r="AO9" s="168"/>
      <c r="AP9" s="167" t="s">
        <v>159</v>
      </c>
      <c r="AQ9" s="174" t="s">
        <v>160</v>
      </c>
      <c r="AR9" s="168"/>
      <c r="AS9" s="168"/>
    </row>
    <row r="10" spans="1:45" s="3" customFormat="1" ht="15.75" thickBot="1" x14ac:dyDescent="0.3">
      <c r="A10" s="9">
        <v>1006</v>
      </c>
      <c r="B10" s="9" t="s">
        <v>14</v>
      </c>
      <c r="C10" s="150"/>
      <c r="D10" s="151" t="s">
        <v>34</v>
      </c>
      <c r="E10" s="150" t="s">
        <v>179</v>
      </c>
      <c r="F10" s="152">
        <v>350285.71428571898</v>
      </c>
      <c r="G10" s="153">
        <v>48</v>
      </c>
      <c r="H10" s="152">
        <v>0</v>
      </c>
      <c r="I10" s="152"/>
      <c r="J10" s="152"/>
      <c r="K10" s="152"/>
      <c r="L10" s="154">
        <f t="shared" si="0"/>
        <v>350285.71428571898</v>
      </c>
      <c r="M10" s="154">
        <f t="shared" si="1"/>
        <v>162322.40000000218</v>
      </c>
      <c r="N10" s="154">
        <f t="shared" si="2"/>
        <v>36219.542857143344</v>
      </c>
      <c r="O10" s="154">
        <f t="shared" si="3"/>
        <v>29178.800000000389</v>
      </c>
      <c r="P10" s="154">
        <f t="shared" si="4"/>
        <v>14256.628571428762</v>
      </c>
      <c r="Q10" s="154">
        <f t="shared" si="5"/>
        <v>108308.34285714431</v>
      </c>
      <c r="AI10" s="162" t="s">
        <v>161</v>
      </c>
      <c r="AJ10" s="175">
        <f>AJ9*1.5</f>
        <v>0</v>
      </c>
      <c r="AK10" s="164" t="s">
        <v>162</v>
      </c>
      <c r="AL10" s="165">
        <f>AJ10*AL9</f>
        <v>0</v>
      </c>
      <c r="AN10" s="155" t="s">
        <v>163</v>
      </c>
      <c r="AO10" s="3" t="s">
        <v>160</v>
      </c>
      <c r="AP10" s="155" t="s">
        <v>164</v>
      </c>
      <c r="AQ10" s="176" t="s">
        <v>165</v>
      </c>
    </row>
    <row r="11" spans="1:45" s="3" customFormat="1" ht="15.75" thickBot="1" x14ac:dyDescent="0.3">
      <c r="A11" s="9">
        <v>1007</v>
      </c>
      <c r="B11" s="9" t="s">
        <v>15</v>
      </c>
      <c r="C11" s="9"/>
      <c r="D11" s="151" t="s">
        <v>33</v>
      </c>
      <c r="E11" s="150" t="s">
        <v>179</v>
      </c>
      <c r="F11" s="177">
        <v>461057.142857139</v>
      </c>
      <c r="G11" s="153">
        <v>48</v>
      </c>
      <c r="H11" s="152">
        <v>0</v>
      </c>
      <c r="I11" s="152"/>
      <c r="J11" s="152"/>
      <c r="K11" s="152"/>
      <c r="L11" s="154">
        <f t="shared" si="0"/>
        <v>461057.142857139</v>
      </c>
      <c r="M11" s="154">
        <f t="shared" si="1"/>
        <v>213653.8799999982</v>
      </c>
      <c r="N11" s="154">
        <f t="shared" si="2"/>
        <v>47673.308571428177</v>
      </c>
      <c r="O11" s="154">
        <f t="shared" si="3"/>
        <v>38406.059999999678</v>
      </c>
      <c r="P11" s="154">
        <f t="shared" si="4"/>
        <v>18765.025714285559</v>
      </c>
      <c r="Q11" s="154">
        <f t="shared" si="5"/>
        <v>142558.86857142739</v>
      </c>
      <c r="AI11" s="178"/>
      <c r="AJ11" s="126"/>
      <c r="AL11" s="178"/>
      <c r="AN11" s="155" t="s">
        <v>166</v>
      </c>
      <c r="AO11" s="3" t="s">
        <v>165</v>
      </c>
      <c r="AP11" s="179" t="s">
        <v>167</v>
      </c>
      <c r="AQ11" s="180">
        <v>0.1</v>
      </c>
      <c r="AR11" s="3">
        <f>1199000-817000</f>
        <v>382000</v>
      </c>
    </row>
    <row r="12" spans="1:45" s="3" customFormat="1" x14ac:dyDescent="0.25">
      <c r="A12" s="9">
        <v>1008</v>
      </c>
      <c r="B12" s="9" t="s">
        <v>16</v>
      </c>
      <c r="C12" s="9"/>
      <c r="D12" s="151" t="s">
        <v>35</v>
      </c>
      <c r="E12" s="150" t="s">
        <v>179</v>
      </c>
      <c r="F12" s="177">
        <v>571828.57142856903</v>
      </c>
      <c r="G12" s="153">
        <v>48</v>
      </c>
      <c r="H12" s="152">
        <v>0</v>
      </c>
      <c r="I12" s="152"/>
      <c r="J12" s="152"/>
      <c r="K12" s="152"/>
      <c r="L12" s="154">
        <f t="shared" si="0"/>
        <v>571828.57142856903</v>
      </c>
      <c r="M12" s="154">
        <f t="shared" si="1"/>
        <v>264985.35999999888</v>
      </c>
      <c r="N12" s="154">
        <f t="shared" si="2"/>
        <v>59127.074285714043</v>
      </c>
      <c r="O12" s="154">
        <f t="shared" si="3"/>
        <v>47633.319999999803</v>
      </c>
      <c r="P12" s="154">
        <f t="shared" si="4"/>
        <v>23273.422857142759</v>
      </c>
      <c r="Q12" s="154">
        <f t="shared" si="5"/>
        <v>176809.39428571356</v>
      </c>
      <c r="AI12" s="167"/>
      <c r="AJ12" s="168" t="s">
        <v>168</v>
      </c>
      <c r="AK12" s="168"/>
      <c r="AL12" s="172" t="s">
        <v>144</v>
      </c>
      <c r="AN12" s="181" t="s">
        <v>169</v>
      </c>
      <c r="AO12" s="182">
        <v>0.1</v>
      </c>
      <c r="AP12" s="179"/>
      <c r="AQ12" s="180"/>
      <c r="AR12" s="3">
        <f>1495668.8-1199000</f>
        <v>296668.80000000005</v>
      </c>
    </row>
    <row r="13" spans="1:45" s="3" customFormat="1" x14ac:dyDescent="0.25">
      <c r="A13" s="9">
        <v>1009</v>
      </c>
      <c r="B13" s="9" t="s">
        <v>17</v>
      </c>
      <c r="C13" s="9"/>
      <c r="D13" s="151" t="s">
        <v>35</v>
      </c>
      <c r="E13" s="150" t="s">
        <v>179</v>
      </c>
      <c r="F13" s="177">
        <v>682599.99999999895</v>
      </c>
      <c r="G13" s="153">
        <v>48</v>
      </c>
      <c r="H13" s="152">
        <v>0</v>
      </c>
      <c r="I13" s="152"/>
      <c r="J13" s="152"/>
      <c r="K13" s="152"/>
      <c r="L13" s="154">
        <f t="shared" si="0"/>
        <v>682599.99999999895</v>
      </c>
      <c r="M13" s="154">
        <f t="shared" si="1"/>
        <v>316316.8399999995</v>
      </c>
      <c r="N13" s="154">
        <f t="shared" si="2"/>
        <v>70580.839999999895</v>
      </c>
      <c r="O13" s="154">
        <f t="shared" si="3"/>
        <v>56860.579999999914</v>
      </c>
      <c r="P13" s="154">
        <f t="shared" si="4"/>
        <v>27781.819999999956</v>
      </c>
      <c r="Q13" s="154">
        <f t="shared" si="5"/>
        <v>211059.91999999969</v>
      </c>
      <c r="AI13" s="155" t="s">
        <v>145</v>
      </c>
      <c r="AJ13" s="3">
        <v>26</v>
      </c>
      <c r="AL13" s="156"/>
      <c r="AN13" s="181"/>
      <c r="AO13" s="183"/>
      <c r="AP13" s="179" t="s">
        <v>170</v>
      </c>
      <c r="AQ13" s="180">
        <v>0.15</v>
      </c>
      <c r="AR13" s="3">
        <f>AR11+AR12</f>
        <v>678668.80000000005</v>
      </c>
    </row>
    <row r="14" spans="1:45" s="3" customFormat="1" x14ac:dyDescent="0.25">
      <c r="A14" s="9">
        <v>1010</v>
      </c>
      <c r="B14" s="9" t="s">
        <v>18</v>
      </c>
      <c r="C14" s="9"/>
      <c r="D14" s="151" t="s">
        <v>35</v>
      </c>
      <c r="E14" s="150" t="s">
        <v>179</v>
      </c>
      <c r="F14" s="177">
        <v>793371.42857142899</v>
      </c>
      <c r="G14" s="153">
        <v>48</v>
      </c>
      <c r="H14" s="152">
        <v>0</v>
      </c>
      <c r="I14" s="152"/>
      <c r="J14" s="152"/>
      <c r="K14" s="152"/>
      <c r="L14" s="154">
        <f t="shared" si="0"/>
        <v>793371.42857142899</v>
      </c>
      <c r="M14" s="154">
        <f t="shared" si="1"/>
        <v>367648.32000000018</v>
      </c>
      <c r="N14" s="154">
        <f t="shared" si="2"/>
        <v>82034.605714285761</v>
      </c>
      <c r="O14" s="154">
        <f t="shared" si="3"/>
        <v>66087.84000000004</v>
      </c>
      <c r="P14" s="154">
        <f t="shared" si="4"/>
        <v>32290.21714285716</v>
      </c>
      <c r="Q14" s="154">
        <f t="shared" si="5"/>
        <v>245310.44571428589</v>
      </c>
      <c r="AI14" s="155" t="s">
        <v>148</v>
      </c>
      <c r="AJ14" s="3">
        <v>208</v>
      </c>
      <c r="AK14" s="3" t="s">
        <v>171</v>
      </c>
      <c r="AL14" s="156"/>
      <c r="AN14" s="179" t="s">
        <v>172</v>
      </c>
      <c r="AO14" s="182">
        <v>0.15</v>
      </c>
      <c r="AP14" s="179"/>
      <c r="AQ14" s="180"/>
    </row>
    <row r="15" spans="1:45" s="3" customFormat="1" ht="15.75" thickBot="1" x14ac:dyDescent="0.3">
      <c r="A15" s="9">
        <v>1011</v>
      </c>
      <c r="B15" s="9" t="s">
        <v>19</v>
      </c>
      <c r="C15" s="9"/>
      <c r="D15" s="151" t="s">
        <v>38</v>
      </c>
      <c r="E15" s="150" t="s">
        <v>179</v>
      </c>
      <c r="F15" s="177">
        <v>904142.85714285902</v>
      </c>
      <c r="G15" s="153">
        <v>48</v>
      </c>
      <c r="H15" s="152">
        <v>0</v>
      </c>
      <c r="I15" s="152"/>
      <c r="J15" s="152"/>
      <c r="K15" s="152"/>
      <c r="L15" s="154">
        <f t="shared" si="0"/>
        <v>904142.85714285902</v>
      </c>
      <c r="M15" s="154">
        <f t="shared" si="1"/>
        <v>418979.80000000086</v>
      </c>
      <c r="N15" s="154">
        <f t="shared" si="2"/>
        <v>93488.371428571627</v>
      </c>
      <c r="O15" s="154">
        <f t="shared" si="3"/>
        <v>75315.100000000151</v>
      </c>
      <c r="P15" s="154">
        <f t="shared" si="4"/>
        <v>36798.614285714364</v>
      </c>
      <c r="Q15" s="154">
        <f t="shared" si="5"/>
        <v>279560.97142857203</v>
      </c>
      <c r="AI15" s="155" t="s">
        <v>173</v>
      </c>
      <c r="AJ15" s="160">
        <f>AJ17*AJ13</f>
        <v>312000</v>
      </c>
      <c r="AK15" s="161"/>
      <c r="AL15" s="161"/>
      <c r="AN15" s="184"/>
      <c r="AO15" s="185"/>
      <c r="AP15" s="186" t="s">
        <v>174</v>
      </c>
      <c r="AQ15" s="187">
        <v>0.2</v>
      </c>
      <c r="AR15" s="163"/>
      <c r="AS15" s="163"/>
    </row>
    <row r="16" spans="1:45" s="3" customFormat="1" x14ac:dyDescent="0.25">
      <c r="A16" s="9">
        <v>1012</v>
      </c>
      <c r="B16" s="9" t="s">
        <v>20</v>
      </c>
      <c r="C16" s="9"/>
      <c r="D16" s="151" t="s">
        <v>38</v>
      </c>
      <c r="E16" s="150" t="s">
        <v>179</v>
      </c>
      <c r="F16" s="177">
        <v>101494.28571431999</v>
      </c>
      <c r="G16" s="153">
        <v>48</v>
      </c>
      <c r="H16" s="152">
        <v>0</v>
      </c>
      <c r="I16" s="152"/>
      <c r="J16" s="152"/>
      <c r="K16" s="152"/>
      <c r="L16" s="154">
        <f t="shared" si="0"/>
        <v>101494.28571431999</v>
      </c>
      <c r="M16" s="154">
        <f t="shared" si="1"/>
        <v>47032.452000015881</v>
      </c>
      <c r="N16" s="154">
        <f t="shared" si="2"/>
        <v>10494.509142860688</v>
      </c>
      <c r="O16" s="154">
        <f t="shared" si="3"/>
        <v>8454.474000002856</v>
      </c>
      <c r="P16" s="154">
        <f t="shared" si="4"/>
        <v>4130.8174285728237</v>
      </c>
      <c r="Q16" s="154">
        <f t="shared" si="5"/>
        <v>31382.033142867745</v>
      </c>
      <c r="AI16" s="155" t="s">
        <v>175</v>
      </c>
      <c r="AJ16" s="160">
        <f>AJ17*6</f>
        <v>72000</v>
      </c>
      <c r="AK16" s="188" t="s">
        <v>151</v>
      </c>
      <c r="AL16" s="156"/>
      <c r="AP16" s="186"/>
      <c r="AQ16" s="187"/>
    </row>
    <row r="17" spans="1:43" s="3" customFormat="1" ht="15.75" thickBot="1" x14ac:dyDescent="0.3">
      <c r="A17" s="9">
        <v>1013</v>
      </c>
      <c r="B17" s="9" t="s">
        <v>21</v>
      </c>
      <c r="C17" s="9"/>
      <c r="D17" s="151" t="s">
        <v>39</v>
      </c>
      <c r="E17" s="150" t="s">
        <v>179</v>
      </c>
      <c r="F17" s="177">
        <v>112565.71428575</v>
      </c>
      <c r="G17" s="153">
        <v>48</v>
      </c>
      <c r="H17" s="152">
        <v>0</v>
      </c>
      <c r="I17" s="152"/>
      <c r="J17" s="152"/>
      <c r="K17" s="152"/>
      <c r="L17" s="154">
        <f t="shared" si="0"/>
        <v>112565.71428575</v>
      </c>
      <c r="M17" s="154">
        <f t="shared" si="1"/>
        <v>52162.95200001655</v>
      </c>
      <c r="N17" s="154">
        <f t="shared" si="2"/>
        <v>11639.294857146551</v>
      </c>
      <c r="O17" s="154">
        <f t="shared" si="3"/>
        <v>9376.7240000029742</v>
      </c>
      <c r="P17" s="154">
        <f t="shared" si="4"/>
        <v>4581.424571430025</v>
      </c>
      <c r="Q17" s="154">
        <f t="shared" si="5"/>
        <v>34805.318857153899</v>
      </c>
      <c r="AI17" s="155" t="s">
        <v>152</v>
      </c>
      <c r="AJ17" s="157">
        <v>12000</v>
      </c>
      <c r="AK17" s="166" t="s">
        <v>153</v>
      </c>
      <c r="AL17" s="156" t="s">
        <v>154</v>
      </c>
      <c r="AN17" s="126"/>
      <c r="AP17" s="186" t="s">
        <v>176</v>
      </c>
      <c r="AQ17" s="187">
        <v>0.25</v>
      </c>
    </row>
    <row r="18" spans="1:43" s="3" customFormat="1" ht="18" thickBot="1" x14ac:dyDescent="0.45">
      <c r="A18" s="9">
        <v>1014</v>
      </c>
      <c r="B18" s="9" t="s">
        <v>22</v>
      </c>
      <c r="C18" s="9"/>
      <c r="D18" s="151" t="s">
        <v>39</v>
      </c>
      <c r="E18" s="150" t="s">
        <v>179</v>
      </c>
      <c r="F18" s="177">
        <v>123647.14285718001</v>
      </c>
      <c r="G18" s="153">
        <v>48</v>
      </c>
      <c r="H18" s="152">
        <v>0</v>
      </c>
      <c r="I18" s="152"/>
      <c r="J18" s="152"/>
      <c r="K18" s="152"/>
      <c r="L18" s="154">
        <f t="shared" si="0"/>
        <v>123647.14285718001</v>
      </c>
      <c r="M18" s="154">
        <f t="shared" si="1"/>
        <v>57298.086000017211</v>
      </c>
      <c r="N18" s="154">
        <f t="shared" si="2"/>
        <v>12785.114571432414</v>
      </c>
      <c r="O18" s="154">
        <f t="shared" si="3"/>
        <v>10299.807000003095</v>
      </c>
      <c r="P18" s="154">
        <f t="shared" si="4"/>
        <v>5032.4387142872265</v>
      </c>
      <c r="Q18" s="154">
        <f t="shared" si="5"/>
        <v>38231.696571440058</v>
      </c>
      <c r="AI18" s="155" t="s">
        <v>156</v>
      </c>
      <c r="AJ18" s="157">
        <f>AJ17/8</f>
        <v>1500</v>
      </c>
      <c r="AK18" s="166" t="s">
        <v>157</v>
      </c>
      <c r="AL18" s="173">
        <v>54</v>
      </c>
      <c r="AN18" s="126"/>
      <c r="AP18" s="186"/>
      <c r="AQ18" s="187"/>
    </row>
    <row r="19" spans="1:43" s="3" customFormat="1" ht="15.75" thickBot="1" x14ac:dyDescent="0.3">
      <c r="A19" s="9">
        <v>1015</v>
      </c>
      <c r="B19" s="9" t="s">
        <v>23</v>
      </c>
      <c r="C19" s="9"/>
      <c r="D19" s="151" t="s">
        <v>35</v>
      </c>
      <c r="E19" s="150" t="s">
        <v>179</v>
      </c>
      <c r="F19" s="177">
        <v>134728.57142861999</v>
      </c>
      <c r="G19" s="153">
        <v>48</v>
      </c>
      <c r="H19" s="152">
        <v>0</v>
      </c>
      <c r="I19" s="152"/>
      <c r="J19" s="152"/>
      <c r="K19" s="152"/>
      <c r="L19" s="154">
        <f t="shared" si="0"/>
        <v>134728.57142861999</v>
      </c>
      <c r="M19" s="154">
        <f t="shared" si="1"/>
        <v>62433.220000022506</v>
      </c>
      <c r="N19" s="154">
        <f t="shared" si="2"/>
        <v>13930.934285719308</v>
      </c>
      <c r="O19" s="154">
        <f t="shared" si="3"/>
        <v>11222.890000004045</v>
      </c>
      <c r="P19" s="154">
        <f t="shared" si="4"/>
        <v>5483.4528571448336</v>
      </c>
      <c r="Q19" s="154">
        <f t="shared" si="5"/>
        <v>41658.074285729308</v>
      </c>
      <c r="AI19" s="162" t="s">
        <v>161</v>
      </c>
      <c r="AJ19" s="175">
        <f>AJ18*1.5</f>
        <v>2250</v>
      </c>
      <c r="AK19" s="164" t="s">
        <v>162</v>
      </c>
      <c r="AL19" s="165">
        <f>AJ19*12</f>
        <v>27000</v>
      </c>
    </row>
    <row r="20" spans="1:43" s="3" customFormat="1" x14ac:dyDescent="0.25">
      <c r="A20" s="9">
        <v>1016</v>
      </c>
      <c r="B20" s="9" t="s">
        <v>24</v>
      </c>
      <c r="C20" s="9"/>
      <c r="D20" s="151" t="s">
        <v>35</v>
      </c>
      <c r="E20" s="150" t="s">
        <v>179</v>
      </c>
      <c r="F20" s="177">
        <v>145800.00000005</v>
      </c>
      <c r="G20" s="153">
        <v>48</v>
      </c>
      <c r="H20" s="152">
        <v>0</v>
      </c>
      <c r="I20" s="152"/>
      <c r="J20" s="152"/>
      <c r="K20" s="152"/>
      <c r="L20" s="154">
        <f t="shared" si="0"/>
        <v>145800.00000005</v>
      </c>
      <c r="M20" s="154">
        <f t="shared" si="1"/>
        <v>67563.720000023168</v>
      </c>
      <c r="N20" s="154">
        <f t="shared" si="2"/>
        <v>15075.720000005171</v>
      </c>
      <c r="O20" s="154">
        <f t="shared" si="3"/>
        <v>12145.140000004165</v>
      </c>
      <c r="P20" s="154">
        <f t="shared" si="4"/>
        <v>5934.0600000020349</v>
      </c>
      <c r="Q20" s="154">
        <f t="shared" si="5"/>
        <v>45081.360000015469</v>
      </c>
      <c r="AI20" s="126"/>
      <c r="AK20" s="189"/>
      <c r="AL20" s="190"/>
    </row>
    <row r="21" spans="1:43" s="3" customFormat="1" x14ac:dyDescent="0.25">
      <c r="A21" s="9">
        <v>1017</v>
      </c>
      <c r="B21" s="9" t="s">
        <v>25</v>
      </c>
      <c r="C21" s="9"/>
      <c r="D21" s="151" t="s">
        <v>54</v>
      </c>
      <c r="E21" s="150" t="s">
        <v>179</v>
      </c>
      <c r="F21" s="177">
        <v>500000</v>
      </c>
      <c r="G21" s="153">
        <v>48</v>
      </c>
      <c r="H21" s="152">
        <v>0</v>
      </c>
      <c r="I21" s="152"/>
      <c r="J21" s="152"/>
      <c r="K21" s="152"/>
      <c r="L21" s="154">
        <f t="shared" si="0"/>
        <v>500000</v>
      </c>
      <c r="M21" s="154">
        <f t="shared" si="1"/>
        <v>231700</v>
      </c>
      <c r="N21" s="154">
        <f t="shared" si="2"/>
        <v>51700</v>
      </c>
      <c r="O21" s="154">
        <f t="shared" si="3"/>
        <v>41650</v>
      </c>
      <c r="P21" s="154">
        <f t="shared" si="4"/>
        <v>20350</v>
      </c>
      <c r="Q21" s="154">
        <f t="shared" si="5"/>
        <v>154600</v>
      </c>
    </row>
    <row r="22" spans="1:43" s="3" customFormat="1" x14ac:dyDescent="0.25">
      <c r="A22" s="9">
        <v>1018</v>
      </c>
      <c r="B22" s="9" t="s">
        <v>26</v>
      </c>
      <c r="C22" s="9"/>
      <c r="D22" s="151" t="s">
        <v>35</v>
      </c>
      <c r="E22" s="150" t="s">
        <v>179</v>
      </c>
      <c r="F22" s="177">
        <v>134728.57142861999</v>
      </c>
      <c r="G22" s="153">
        <v>48</v>
      </c>
      <c r="H22" s="152">
        <v>0</v>
      </c>
      <c r="I22" s="152"/>
      <c r="J22" s="152"/>
      <c r="K22" s="152"/>
      <c r="L22" s="154">
        <f t="shared" si="0"/>
        <v>134728.57142861999</v>
      </c>
      <c r="M22" s="154">
        <f t="shared" si="1"/>
        <v>62433.220000022506</v>
      </c>
      <c r="N22" s="154">
        <f t="shared" si="2"/>
        <v>13930.934285719308</v>
      </c>
      <c r="O22" s="154">
        <f t="shared" si="3"/>
        <v>11222.890000004045</v>
      </c>
      <c r="P22" s="154">
        <f t="shared" si="4"/>
        <v>5483.4528571448336</v>
      </c>
      <c r="Q22" s="154">
        <f t="shared" si="5"/>
        <v>41658.074285729308</v>
      </c>
    </row>
    <row r="23" spans="1:43" s="3" customFormat="1" x14ac:dyDescent="0.25">
      <c r="A23" s="9">
        <v>1019</v>
      </c>
      <c r="B23" s="9" t="s">
        <v>27</v>
      </c>
      <c r="C23" s="9"/>
      <c r="D23" s="151" t="s">
        <v>35</v>
      </c>
      <c r="E23" s="150" t="s">
        <v>179</v>
      </c>
      <c r="F23" s="177">
        <v>145800.00000005</v>
      </c>
      <c r="G23" s="153">
        <v>48</v>
      </c>
      <c r="H23" s="152">
        <v>0</v>
      </c>
      <c r="I23" s="152"/>
      <c r="J23" s="152"/>
      <c r="K23" s="152"/>
      <c r="L23" s="154">
        <f t="shared" si="0"/>
        <v>145800.00000005</v>
      </c>
      <c r="M23" s="154">
        <f t="shared" si="1"/>
        <v>67563.720000023168</v>
      </c>
      <c r="N23" s="154">
        <f t="shared" si="2"/>
        <v>15075.720000005171</v>
      </c>
      <c r="O23" s="154">
        <f t="shared" si="3"/>
        <v>12145.140000004165</v>
      </c>
      <c r="P23" s="154">
        <f t="shared" si="4"/>
        <v>5934.0600000020349</v>
      </c>
      <c r="Q23" s="154">
        <f t="shared" si="5"/>
        <v>45081.360000015469</v>
      </c>
    </row>
    <row r="24" spans="1:43" s="3" customFormat="1" x14ac:dyDescent="0.25">
      <c r="A24" s="9">
        <v>1020</v>
      </c>
      <c r="B24" s="9" t="s">
        <v>53</v>
      </c>
      <c r="C24" s="9">
        <v>207540376</v>
      </c>
      <c r="D24" s="151" t="s">
        <v>54</v>
      </c>
      <c r="E24" s="150" t="s">
        <v>179</v>
      </c>
      <c r="F24" s="177">
        <v>500000</v>
      </c>
      <c r="G24" s="153">
        <v>48</v>
      </c>
      <c r="H24" s="152">
        <v>0</v>
      </c>
      <c r="I24" s="152"/>
      <c r="J24" s="152"/>
      <c r="K24" s="152"/>
      <c r="L24" s="154">
        <f t="shared" si="0"/>
        <v>500000</v>
      </c>
      <c r="M24" s="154">
        <f t="shared" si="1"/>
        <v>231700</v>
      </c>
      <c r="N24" s="154">
        <f t="shared" si="2"/>
        <v>51700</v>
      </c>
      <c r="O24" s="154">
        <f t="shared" si="3"/>
        <v>41650</v>
      </c>
      <c r="P24" s="154">
        <f t="shared" si="4"/>
        <v>20350</v>
      </c>
      <c r="Q24" s="154">
        <f t="shared" si="5"/>
        <v>154600</v>
      </c>
    </row>
    <row r="25" spans="1:43" x14ac:dyDescent="0.25">
      <c r="B25" s="129" t="s">
        <v>138</v>
      </c>
      <c r="C25" s="129"/>
      <c r="D25" s="129"/>
      <c r="E25" s="129"/>
      <c r="F25" s="130">
        <f>SUM(F5:F10)</f>
        <v>1651542.8571428629</v>
      </c>
      <c r="G25" s="130"/>
      <c r="H25" s="130">
        <f>SUM(H5:H10)</f>
        <v>0</v>
      </c>
      <c r="I25" s="130">
        <f>SUM(I5:I10)</f>
        <v>0</v>
      </c>
      <c r="J25" s="130">
        <f>SUM(J5:J10)</f>
        <v>0</v>
      </c>
      <c r="K25" s="130">
        <f>SUM(K5:K10)</f>
        <v>0</v>
      </c>
      <c r="L25" s="131">
        <f>SUM(L5:L10)</f>
        <v>1651542.8571428629</v>
      </c>
      <c r="M25" s="133">
        <f>SUM(M5:M10)</f>
        <v>765324.96000000276</v>
      </c>
      <c r="N25" s="133">
        <f>SUM(N5:N10)</f>
        <v>170769.53142857202</v>
      </c>
      <c r="O25" s="134">
        <f>SUM(O5:O10)</f>
        <v>137573.52000000048</v>
      </c>
      <c r="P25" s="134">
        <f>SUM(P5:P10)</f>
        <v>67217.794285714524</v>
      </c>
      <c r="Q25" s="131">
        <f>SUM(Q5:Q10)</f>
        <v>510657.05142857321</v>
      </c>
      <c r="AL25">
        <v>1478.41</v>
      </c>
      <c r="AM25">
        <v>2217.62</v>
      </c>
      <c r="AN25" s="122"/>
    </row>
    <row r="26" spans="1:43" x14ac:dyDescent="0.25">
      <c r="AL26" t="s">
        <v>177</v>
      </c>
      <c r="AN26" s="122"/>
    </row>
    <row r="27" spans="1:43" x14ac:dyDescent="0.25">
      <c r="AL27" t="s">
        <v>178</v>
      </c>
      <c r="AN27" s="122"/>
    </row>
    <row r="28" spans="1:43" x14ac:dyDescent="0.25">
      <c r="AN28" s="122"/>
    </row>
    <row r="29" spans="1:43" x14ac:dyDescent="0.25">
      <c r="AI29" s="122"/>
      <c r="AN29" s="122"/>
    </row>
    <row r="30" spans="1:43" x14ac:dyDescent="0.25">
      <c r="AI30" s="122"/>
      <c r="AN30" s="122"/>
    </row>
    <row r="31" spans="1:43" x14ac:dyDescent="0.25">
      <c r="AI31" s="122"/>
      <c r="AN31" s="122"/>
    </row>
    <row r="32" spans="1:43" x14ac:dyDescent="0.25">
      <c r="AI32" s="122"/>
      <c r="AN32" s="122"/>
    </row>
    <row r="33" spans="35:40" x14ac:dyDescent="0.25">
      <c r="AN33" s="122"/>
    </row>
    <row r="34" spans="35:40" x14ac:dyDescent="0.25">
      <c r="AN34" s="122"/>
    </row>
    <row r="35" spans="35:40" x14ac:dyDescent="0.25">
      <c r="AI35" s="122"/>
    </row>
    <row r="36" spans="35:40" x14ac:dyDescent="0.25">
      <c r="AI36" s="122"/>
    </row>
  </sheetData>
  <mergeCells count="14">
    <mergeCell ref="AP15:AP16"/>
    <mergeCell ref="AQ15:AQ16"/>
    <mergeCell ref="AP17:AP18"/>
    <mergeCell ref="AQ17:AQ18"/>
    <mergeCell ref="B1:C3"/>
    <mergeCell ref="H2:H3"/>
    <mergeCell ref="AP11:AP12"/>
    <mergeCell ref="AQ11:AQ12"/>
    <mergeCell ref="AN12:AN13"/>
    <mergeCell ref="AO12:AO13"/>
    <mergeCell ref="AP13:AP14"/>
    <mergeCell ref="AQ13:AQ14"/>
    <mergeCell ref="AN14:AN15"/>
    <mergeCell ref="AO14:AO15"/>
  </mergeCells>
  <pageMargins left="0.7" right="0.7" top="0.75" bottom="0.75" header="0.3" footer="0.3"/>
  <customProperties>
    <customPr name="ignoreTimezoneMismatch" r:id="rId1"/>
    <customPr name="preferEventDateTime" r:id="rId2"/>
    <customPr name="sheetDisplayTimezone" r:id="rId3"/>
    <customPr name="sheetLanguage" r:id="rId4"/>
    <customPr name="visibleOptionalColumns" r:id="rId5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8DD83-C49B-4292-808F-699C714917BE}">
  <sheetPr codeName="Hoja2"/>
  <dimension ref="A2:P16"/>
  <sheetViews>
    <sheetView showGridLines="0" topLeftCell="C1" zoomScale="70" zoomScaleNormal="70" workbookViewId="0">
      <selection activeCell="E7" sqref="E7"/>
    </sheetView>
  </sheetViews>
  <sheetFormatPr baseColWidth="10" defaultRowHeight="15" x14ac:dyDescent="0.25"/>
  <cols>
    <col min="1" max="1" width="11.7109375" hidden="1" customWidth="1"/>
    <col min="2" max="2" width="2" hidden="1" customWidth="1"/>
    <col min="3" max="3" width="5" customWidth="1"/>
    <col min="4" max="4" width="9.42578125" bestFit="1" customWidth="1"/>
    <col min="5" max="5" width="18.140625" bestFit="1" customWidth="1"/>
    <col min="6" max="6" width="15.140625" bestFit="1" customWidth="1"/>
    <col min="7" max="7" width="11.42578125" bestFit="1" customWidth="1"/>
    <col min="8" max="8" width="12.140625" bestFit="1" customWidth="1"/>
    <col min="9" max="9" width="12" bestFit="1" customWidth="1"/>
    <col min="10" max="10" width="13.140625" bestFit="1" customWidth="1"/>
    <col min="11" max="11" width="7.5703125" style="50" customWidth="1"/>
    <col min="12" max="12" width="10.85546875" style="50" bestFit="1" customWidth="1"/>
    <col min="13" max="13" width="14.7109375" style="1" bestFit="1" customWidth="1"/>
    <col min="14" max="14" width="59.140625" style="1" bestFit="1" customWidth="1"/>
    <col min="15" max="15" width="12.5703125" style="1" bestFit="1" customWidth="1"/>
    <col min="16" max="16" width="11.42578125" style="1"/>
  </cols>
  <sheetData>
    <row r="2" spans="1:16" x14ac:dyDescent="0.25">
      <c r="A2" s="21">
        <f>DATE($D$4,MATCH($E$4,$A$3:$A$14,0),1)</f>
        <v>46266</v>
      </c>
      <c r="B2" s="22">
        <f>WEEKDAY($A$2,3)</f>
        <v>1</v>
      </c>
      <c r="M2" s="31"/>
      <c r="N2" s="32" t="s">
        <v>84</v>
      </c>
      <c r="O2" s="27" t="s">
        <v>117</v>
      </c>
      <c r="P2" s="27" t="s">
        <v>118</v>
      </c>
    </row>
    <row r="3" spans="1:16" ht="24" x14ac:dyDescent="0.45">
      <c r="A3" s="23" t="s">
        <v>106</v>
      </c>
      <c r="B3" s="23"/>
      <c r="D3" s="38" t="s">
        <v>104</v>
      </c>
      <c r="E3" s="38" t="s">
        <v>105</v>
      </c>
      <c r="F3" s="17"/>
      <c r="G3" s="17"/>
      <c r="H3" s="17"/>
      <c r="I3" s="17"/>
      <c r="J3" s="17"/>
      <c r="M3" s="49">
        <v>46023</v>
      </c>
      <c r="N3" s="36" t="s">
        <v>86</v>
      </c>
      <c r="O3" s="28">
        <v>46298</v>
      </c>
      <c r="P3" s="28">
        <v>46049</v>
      </c>
    </row>
    <row r="4" spans="1:16" ht="24" x14ac:dyDescent="0.45">
      <c r="A4" s="23" t="s">
        <v>107</v>
      </c>
      <c r="B4" s="23"/>
      <c r="D4" s="16">
        <v>2026</v>
      </c>
      <c r="E4" s="16" t="s">
        <v>113</v>
      </c>
      <c r="F4" s="17"/>
      <c r="G4" s="26"/>
      <c r="H4" s="26"/>
      <c r="I4" s="17"/>
      <c r="J4" s="17"/>
      <c r="M4" s="49">
        <v>46114</v>
      </c>
      <c r="N4" s="36" t="s">
        <v>87</v>
      </c>
      <c r="O4" s="28">
        <v>46190</v>
      </c>
      <c r="P4" s="28">
        <v>46058</v>
      </c>
    </row>
    <row r="5" spans="1:16" ht="24" x14ac:dyDescent="0.45">
      <c r="A5" s="23" t="s">
        <v>108</v>
      </c>
      <c r="B5" s="23"/>
      <c r="D5" s="17"/>
      <c r="E5" s="17"/>
      <c r="F5" s="17"/>
      <c r="G5" s="17"/>
      <c r="H5" s="17"/>
      <c r="I5" s="17"/>
      <c r="J5" s="17"/>
      <c r="M5" s="49">
        <v>46115</v>
      </c>
      <c r="N5" s="36" t="s">
        <v>87</v>
      </c>
      <c r="O5" s="28">
        <v>46136</v>
      </c>
      <c r="P5" s="28">
        <v>46090</v>
      </c>
    </row>
    <row r="6" spans="1:16" ht="49.5" customHeight="1" x14ac:dyDescent="0.25">
      <c r="A6" s="23" t="s">
        <v>109</v>
      </c>
      <c r="B6" s="23"/>
      <c r="D6" s="39" t="s">
        <v>97</v>
      </c>
      <c r="E6" s="39" t="s">
        <v>98</v>
      </c>
      <c r="F6" s="39" t="s">
        <v>99</v>
      </c>
      <c r="G6" s="39" t="s">
        <v>100</v>
      </c>
      <c r="H6" s="39" t="s">
        <v>101</v>
      </c>
      <c r="I6" s="39" t="s">
        <v>102</v>
      </c>
      <c r="J6" s="39" t="s">
        <v>103</v>
      </c>
      <c r="M6" s="49">
        <v>46123</v>
      </c>
      <c r="N6" s="36" t="s">
        <v>88</v>
      </c>
      <c r="O6" s="28">
        <v>46046</v>
      </c>
      <c r="P6" s="28">
        <v>46108</v>
      </c>
    </row>
    <row r="7" spans="1:16" ht="49.5" customHeight="1" x14ac:dyDescent="0.25">
      <c r="A7" s="23" t="s">
        <v>110</v>
      </c>
      <c r="B7" s="23"/>
      <c r="D7" s="40">
        <f>A2-B2</f>
        <v>46265</v>
      </c>
      <c r="E7" s="40">
        <f>D7+1</f>
        <v>46266</v>
      </c>
      <c r="F7" s="40">
        <f t="shared" ref="F7:J7" si="0">E7+1</f>
        <v>46267</v>
      </c>
      <c r="G7" s="40">
        <f t="shared" si="0"/>
        <v>46268</v>
      </c>
      <c r="H7" s="40">
        <f t="shared" si="0"/>
        <v>46269</v>
      </c>
      <c r="I7" s="41">
        <f t="shared" si="0"/>
        <v>46270</v>
      </c>
      <c r="J7" s="41">
        <f t="shared" si="0"/>
        <v>46271</v>
      </c>
      <c r="M7" s="49">
        <v>46143</v>
      </c>
      <c r="N7" s="36" t="s">
        <v>89</v>
      </c>
      <c r="O7" s="28">
        <v>46218</v>
      </c>
      <c r="P7" s="29"/>
    </row>
    <row r="8" spans="1:16" ht="49.5" customHeight="1" x14ac:dyDescent="0.25">
      <c r="A8" s="23" t="s">
        <v>111</v>
      </c>
      <c r="B8" s="23"/>
      <c r="D8" s="40">
        <f>J7+1</f>
        <v>46272</v>
      </c>
      <c r="E8" s="40">
        <f t="shared" ref="E8:J8" si="1">D8+1</f>
        <v>46273</v>
      </c>
      <c r="F8" s="40">
        <f t="shared" si="1"/>
        <v>46274</v>
      </c>
      <c r="G8" s="40">
        <f t="shared" si="1"/>
        <v>46275</v>
      </c>
      <c r="H8" s="40">
        <f t="shared" si="1"/>
        <v>46276</v>
      </c>
      <c r="I8" s="41">
        <f t="shared" si="1"/>
        <v>46277</v>
      </c>
      <c r="J8" s="41">
        <f t="shared" si="1"/>
        <v>46278</v>
      </c>
      <c r="M8" s="49">
        <v>46228</v>
      </c>
      <c r="N8" s="36" t="s">
        <v>90</v>
      </c>
      <c r="O8" s="28">
        <v>46296</v>
      </c>
      <c r="P8" s="29"/>
    </row>
    <row r="9" spans="1:16" ht="49.5" customHeight="1" x14ac:dyDescent="0.25">
      <c r="A9" s="23" t="s">
        <v>16</v>
      </c>
      <c r="B9" s="23"/>
      <c r="D9" s="40">
        <f t="shared" ref="D9:D12" si="2">J8+1</f>
        <v>46279</v>
      </c>
      <c r="E9" s="40">
        <f t="shared" ref="E9:J9" si="3">D9+1</f>
        <v>46280</v>
      </c>
      <c r="F9" s="40">
        <f t="shared" si="3"/>
        <v>46281</v>
      </c>
      <c r="G9" s="40">
        <f t="shared" si="3"/>
        <v>46282</v>
      </c>
      <c r="H9" s="40">
        <f t="shared" si="3"/>
        <v>46283</v>
      </c>
      <c r="I9" s="41">
        <f t="shared" si="3"/>
        <v>46284</v>
      </c>
      <c r="J9" s="41">
        <f t="shared" si="3"/>
        <v>46285</v>
      </c>
      <c r="M9" s="49">
        <v>46249</v>
      </c>
      <c r="N9" s="36" t="s">
        <v>91</v>
      </c>
      <c r="O9" s="28">
        <v>46107</v>
      </c>
      <c r="P9" s="29"/>
    </row>
    <row r="10" spans="1:16" ht="49.5" customHeight="1" x14ac:dyDescent="0.25">
      <c r="A10" s="23" t="s">
        <v>112</v>
      </c>
      <c r="B10" s="23"/>
      <c r="D10" s="40">
        <f t="shared" si="2"/>
        <v>46286</v>
      </c>
      <c r="E10" s="40">
        <f t="shared" ref="E10:J10" si="4">D10+1</f>
        <v>46287</v>
      </c>
      <c r="F10" s="40">
        <f t="shared" si="4"/>
        <v>46288</v>
      </c>
      <c r="G10" s="40">
        <f t="shared" si="4"/>
        <v>46289</v>
      </c>
      <c r="H10" s="40">
        <f t="shared" si="4"/>
        <v>46290</v>
      </c>
      <c r="I10" s="41">
        <f t="shared" si="4"/>
        <v>46291</v>
      </c>
      <c r="J10" s="41">
        <f t="shared" si="4"/>
        <v>46292</v>
      </c>
      <c r="M10" s="49">
        <v>46280</v>
      </c>
      <c r="N10" s="36" t="s">
        <v>92</v>
      </c>
      <c r="O10" s="28">
        <v>46328</v>
      </c>
      <c r="P10" s="29"/>
    </row>
    <row r="11" spans="1:16" ht="49.5" customHeight="1" x14ac:dyDescent="0.25">
      <c r="A11" s="23" t="s">
        <v>113</v>
      </c>
      <c r="B11" s="23"/>
      <c r="D11" s="40">
        <f t="shared" si="2"/>
        <v>46293</v>
      </c>
      <c r="E11" s="40">
        <f t="shared" ref="E11:J11" si="5">D11+1</f>
        <v>46294</v>
      </c>
      <c r="F11" s="40">
        <f t="shared" si="5"/>
        <v>46295</v>
      </c>
      <c r="G11" s="40">
        <f t="shared" si="5"/>
        <v>46296</v>
      </c>
      <c r="H11" s="40">
        <f t="shared" si="5"/>
        <v>46297</v>
      </c>
      <c r="I11" s="41">
        <f t="shared" si="5"/>
        <v>46298</v>
      </c>
      <c r="J11" s="41">
        <f t="shared" si="5"/>
        <v>46299</v>
      </c>
      <c r="M11" s="49">
        <v>46381</v>
      </c>
      <c r="N11" s="36" t="s">
        <v>93</v>
      </c>
      <c r="O11" s="29"/>
      <c r="P11" s="29"/>
    </row>
    <row r="12" spans="1:16" ht="49.5" customHeight="1" x14ac:dyDescent="0.25">
      <c r="A12" s="23" t="s">
        <v>114</v>
      </c>
      <c r="B12" s="23"/>
      <c r="D12" s="40">
        <f t="shared" si="2"/>
        <v>46300</v>
      </c>
      <c r="E12" s="40">
        <f t="shared" ref="E12:J12" si="6">D12+1</f>
        <v>46301</v>
      </c>
      <c r="F12" s="40">
        <f t="shared" si="6"/>
        <v>46302</v>
      </c>
      <c r="G12" s="40">
        <f t="shared" si="6"/>
        <v>46303</v>
      </c>
      <c r="H12" s="40">
        <f t="shared" si="6"/>
        <v>46304</v>
      </c>
      <c r="I12" s="41">
        <f t="shared" si="6"/>
        <v>46305</v>
      </c>
      <c r="J12" s="41">
        <f t="shared" si="6"/>
        <v>46306</v>
      </c>
      <c r="M12" s="33"/>
      <c r="N12" s="34"/>
      <c r="O12" s="29"/>
      <c r="P12" s="29"/>
    </row>
    <row r="13" spans="1:16" x14ac:dyDescent="0.25">
      <c r="A13" s="23" t="s">
        <v>115</v>
      </c>
      <c r="B13" s="23"/>
      <c r="M13" s="31"/>
      <c r="N13" s="32" t="s">
        <v>85</v>
      </c>
      <c r="O13" s="29"/>
      <c r="P13" s="29"/>
    </row>
    <row r="14" spans="1:16" x14ac:dyDescent="0.25">
      <c r="A14" s="23" t="s">
        <v>116</v>
      </c>
      <c r="B14" s="23"/>
      <c r="M14" s="33">
        <v>46236</v>
      </c>
      <c r="N14" s="36" t="s">
        <v>94</v>
      </c>
      <c r="O14" s="29"/>
      <c r="P14" s="29"/>
    </row>
    <row r="15" spans="1:16" x14ac:dyDescent="0.25">
      <c r="M15" s="33">
        <v>46265</v>
      </c>
      <c r="N15" s="36" t="s">
        <v>95</v>
      </c>
      <c r="O15" s="29"/>
      <c r="P15" s="29"/>
    </row>
    <row r="16" spans="1:16" x14ac:dyDescent="0.25">
      <c r="M16" s="35">
        <v>46357</v>
      </c>
      <c r="N16" s="37" t="s">
        <v>96</v>
      </c>
      <c r="O16" s="30"/>
      <c r="P16" s="30"/>
    </row>
  </sheetData>
  <phoneticPr fontId="4" type="noConversion"/>
  <conditionalFormatting sqref="D7:J12">
    <cfRule type="expression" dxfId="7" priority="28">
      <formula>MATCH(D7,$P$3:$P$16,0)</formula>
    </cfRule>
    <cfRule type="expression" dxfId="6" priority="29">
      <formula>MATCH(D7,$O$3:$O$16,0)</formula>
    </cfRule>
    <cfRule type="expression" dxfId="5" priority="30">
      <formula>MATCH(D7,$M$3:$M$16,0)</formula>
    </cfRule>
    <cfRule type="expression" dxfId="4" priority="31">
      <formula>D7&gt;EOMONTH($A$2,0)</formula>
    </cfRule>
    <cfRule type="expression" dxfId="3" priority="32">
      <formula>D7&lt;$A$2</formula>
    </cfRule>
  </conditionalFormatting>
  <dataValidations count="1">
    <dataValidation type="list" allowBlank="1" showInputMessage="1" showErrorMessage="1" sqref="E4" xr:uid="{8A45B864-D6C1-4B93-8AF3-9AD50EDC88E4}">
      <formula1>$A$3:$A$14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Volver_Registro">
                <anchor moveWithCells="1" sizeWithCells="1">
                  <from>
                    <xdr:col>3</xdr:col>
                    <xdr:colOff>133350</xdr:colOff>
                    <xdr:row>15</xdr:row>
                    <xdr:rowOff>19050</xdr:rowOff>
                  </from>
                  <to>
                    <xdr:col>5</xdr:col>
                    <xdr:colOff>171450</xdr:colOff>
                    <xdr:row>17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Menu">
                <anchor moveWithCells="1" sizeWithCells="1">
                  <from>
                    <xdr:col>5</xdr:col>
                    <xdr:colOff>285750</xdr:colOff>
                    <xdr:row>15</xdr:row>
                    <xdr:rowOff>19050</xdr:rowOff>
                  </from>
                  <to>
                    <xdr:col>6</xdr:col>
                    <xdr:colOff>400050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0594-6CDD-4208-85C2-AEA3E6538488}">
  <sheetPr codeName="Hoja8"/>
  <dimension ref="B1:T23"/>
  <sheetViews>
    <sheetView showGridLines="0" zoomScale="85" zoomScaleNormal="85" workbookViewId="0">
      <selection activeCell="F4" sqref="F4:I23"/>
    </sheetView>
  </sheetViews>
  <sheetFormatPr baseColWidth="10" defaultRowHeight="15" x14ac:dyDescent="0.25"/>
  <cols>
    <col min="1" max="1" width="4.42578125" style="3" customWidth="1"/>
    <col min="2" max="2" width="15.42578125" style="8" customWidth="1"/>
    <col min="3" max="3" width="17.7109375" style="8" customWidth="1"/>
    <col min="4" max="4" width="5.42578125" style="3" customWidth="1"/>
    <col min="5" max="5" width="9.85546875" style="8" bestFit="1" customWidth="1"/>
    <col min="6" max="6" width="16.140625" style="3" bestFit="1" customWidth="1"/>
    <col min="7" max="7" width="12.7109375" style="3" bestFit="1" customWidth="1"/>
    <col min="8" max="8" width="17.140625" style="3" bestFit="1" customWidth="1"/>
    <col min="9" max="10" width="11.42578125" style="3"/>
    <col min="11" max="11" width="6.85546875" style="3" bestFit="1" customWidth="1"/>
    <col min="12" max="12" width="8.42578125" style="3" bestFit="1" customWidth="1"/>
    <col min="13" max="13" width="10.85546875" style="3" bestFit="1" customWidth="1"/>
    <col min="14" max="14" width="8.140625" style="3" bestFit="1" customWidth="1"/>
    <col min="15" max="16" width="8.7109375" style="3" bestFit="1" customWidth="1"/>
    <col min="17" max="17" width="9.5703125" style="3" bestFit="1" customWidth="1"/>
    <col min="18" max="18" width="11.42578125" style="3"/>
    <col min="19" max="19" width="11.7109375" style="3" hidden="1" customWidth="1"/>
    <col min="20" max="20" width="2" style="3" hidden="1" customWidth="1"/>
    <col min="21" max="16384" width="11.42578125" style="3"/>
  </cols>
  <sheetData>
    <row r="1" spans="2:20" x14ac:dyDescent="0.25">
      <c r="B1" s="3"/>
      <c r="C1" s="3"/>
      <c r="E1" s="117" t="s">
        <v>77</v>
      </c>
      <c r="F1" s="117"/>
      <c r="G1" s="117"/>
      <c r="H1" s="117"/>
      <c r="I1" s="117"/>
      <c r="J1"/>
      <c r="K1"/>
      <c r="L1"/>
      <c r="M1"/>
      <c r="N1"/>
      <c r="O1"/>
      <c r="P1"/>
      <c r="Q1"/>
      <c r="S1" s="24">
        <f>DATE($K$3,MATCH($L$3,$S$2:$S$13,0),1)</f>
        <v>46082</v>
      </c>
      <c r="T1" s="22">
        <f>WEEKDAY($S$1,3)</f>
        <v>6</v>
      </c>
    </row>
    <row r="2" spans="2:20" ht="16.5" x14ac:dyDescent="0.3">
      <c r="B2" s="3"/>
      <c r="C2" s="3"/>
      <c r="E2" s="117"/>
      <c r="F2" s="117"/>
      <c r="G2" s="117"/>
      <c r="H2" s="117"/>
      <c r="I2" s="117"/>
      <c r="J2"/>
      <c r="K2" s="25" t="s">
        <v>104</v>
      </c>
      <c r="L2" s="25" t="s">
        <v>105</v>
      </c>
      <c r="M2" s="15"/>
      <c r="N2" s="15"/>
      <c r="O2" s="15"/>
      <c r="P2" s="15"/>
      <c r="Q2" s="15"/>
      <c r="S2" s="23" t="s">
        <v>106</v>
      </c>
      <c r="T2" s="23"/>
    </row>
    <row r="3" spans="2:20" ht="16.5" x14ac:dyDescent="0.3">
      <c r="E3" s="74" t="s">
        <v>4</v>
      </c>
      <c r="F3" s="75" t="s">
        <v>0</v>
      </c>
      <c r="G3" s="75" t="s">
        <v>5</v>
      </c>
      <c r="H3" s="75" t="s">
        <v>6</v>
      </c>
      <c r="I3" s="75" t="s">
        <v>41</v>
      </c>
      <c r="J3"/>
      <c r="K3" s="18">
        <v>2026</v>
      </c>
      <c r="L3" s="18" t="s">
        <v>108</v>
      </c>
      <c r="M3" s="15"/>
      <c r="N3" s="14"/>
      <c r="O3" s="14"/>
      <c r="P3" s="15"/>
      <c r="Q3" s="15"/>
      <c r="S3" s="23" t="s">
        <v>107</v>
      </c>
      <c r="T3" s="23"/>
    </row>
    <row r="4" spans="2:20" ht="16.5" x14ac:dyDescent="0.3">
      <c r="D4" s="3">
        <v>1</v>
      </c>
      <c r="E4" s="74">
        <f ca="1">$B$7</f>
        <v>46091</v>
      </c>
      <c r="F4" s="75"/>
      <c r="G4" s="75"/>
      <c r="H4" s="75"/>
      <c r="I4" s="75"/>
      <c r="J4"/>
      <c r="K4" s="15"/>
      <c r="L4" s="15"/>
      <c r="M4" s="15"/>
      <c r="N4" s="15"/>
      <c r="O4" s="15"/>
      <c r="P4" s="15"/>
      <c r="Q4" s="15"/>
      <c r="S4" s="23" t="s">
        <v>108</v>
      </c>
      <c r="T4" s="23"/>
    </row>
    <row r="5" spans="2:20" ht="16.5" x14ac:dyDescent="0.25">
      <c r="B5" s="112" t="s">
        <v>75</v>
      </c>
      <c r="C5" s="112"/>
      <c r="D5" s="3">
        <v>2</v>
      </c>
      <c r="E5" s="74">
        <f t="shared" ref="E5:E23" ca="1" si="0">$B$7</f>
        <v>46091</v>
      </c>
      <c r="F5" s="75"/>
      <c r="G5" s="75"/>
      <c r="H5" s="75"/>
      <c r="I5" s="75"/>
      <c r="J5"/>
      <c r="K5" s="25" t="s">
        <v>97</v>
      </c>
      <c r="L5" s="25" t="s">
        <v>98</v>
      </c>
      <c r="M5" s="25" t="s">
        <v>99</v>
      </c>
      <c r="N5" s="25" t="s">
        <v>100</v>
      </c>
      <c r="O5" s="25" t="s">
        <v>101</v>
      </c>
      <c r="P5" s="25" t="s">
        <v>102</v>
      </c>
      <c r="Q5" s="25" t="s">
        <v>103</v>
      </c>
      <c r="S5" s="23" t="s">
        <v>109</v>
      </c>
      <c r="T5" s="23"/>
    </row>
    <row r="6" spans="2:20" ht="16.5" x14ac:dyDescent="0.3">
      <c r="B6" s="112"/>
      <c r="C6" s="112"/>
      <c r="D6" s="3">
        <v>3</v>
      </c>
      <c r="E6" s="74">
        <f t="shared" ca="1" si="0"/>
        <v>46091</v>
      </c>
      <c r="F6" s="75"/>
      <c r="G6" s="75"/>
      <c r="H6" s="75"/>
      <c r="I6" s="75"/>
      <c r="J6"/>
      <c r="K6" s="19">
        <f>S1-T1</f>
        <v>46076</v>
      </c>
      <c r="L6" s="19">
        <f>K6+1</f>
        <v>46077</v>
      </c>
      <c r="M6" s="19">
        <f t="shared" ref="M6:Q6" si="1">L6+1</f>
        <v>46078</v>
      </c>
      <c r="N6" s="19">
        <f t="shared" si="1"/>
        <v>46079</v>
      </c>
      <c r="O6" s="19">
        <f t="shared" si="1"/>
        <v>46080</v>
      </c>
      <c r="P6" s="20">
        <f t="shared" si="1"/>
        <v>46081</v>
      </c>
      <c r="Q6" s="20">
        <f t="shared" si="1"/>
        <v>46082</v>
      </c>
      <c r="S6" s="23" t="s">
        <v>110</v>
      </c>
      <c r="T6" s="23"/>
    </row>
    <row r="7" spans="2:20" ht="15" customHeight="1" x14ac:dyDescent="0.3">
      <c r="B7" s="113">
        <f ca="1">TODAY()</f>
        <v>46091</v>
      </c>
      <c r="C7" s="114"/>
      <c r="D7" s="3">
        <v>4</v>
      </c>
      <c r="E7" s="74">
        <f t="shared" ca="1" si="0"/>
        <v>46091</v>
      </c>
      <c r="F7" s="75"/>
      <c r="G7" s="75"/>
      <c r="H7" s="75"/>
      <c r="I7" s="75"/>
      <c r="J7"/>
      <c r="K7" s="19">
        <f>Q6+1</f>
        <v>46083</v>
      </c>
      <c r="L7" s="19">
        <f t="shared" ref="L7:Q11" si="2">K7+1</f>
        <v>46084</v>
      </c>
      <c r="M7" s="19">
        <f t="shared" si="2"/>
        <v>46085</v>
      </c>
      <c r="N7" s="19">
        <f t="shared" si="2"/>
        <v>46086</v>
      </c>
      <c r="O7" s="19">
        <f t="shared" si="2"/>
        <v>46087</v>
      </c>
      <c r="P7" s="20">
        <f t="shared" si="2"/>
        <v>46088</v>
      </c>
      <c r="Q7" s="20">
        <f t="shared" si="2"/>
        <v>46089</v>
      </c>
      <c r="S7" s="23" t="s">
        <v>111</v>
      </c>
      <c r="T7" s="23"/>
    </row>
    <row r="8" spans="2:20" ht="15" customHeight="1" x14ac:dyDescent="0.3">
      <c r="B8" s="115"/>
      <c r="C8" s="116"/>
      <c r="D8" s="3">
        <v>5</v>
      </c>
      <c r="E8" s="74">
        <f t="shared" ca="1" si="0"/>
        <v>46091</v>
      </c>
      <c r="F8" s="75"/>
      <c r="G8" s="75"/>
      <c r="H8" s="75"/>
      <c r="I8" s="75"/>
      <c r="J8"/>
      <c r="K8" s="19">
        <f t="shared" ref="K8:K11" si="3">Q7+1</f>
        <v>46090</v>
      </c>
      <c r="L8" s="19">
        <f t="shared" si="2"/>
        <v>46091</v>
      </c>
      <c r="M8" s="19">
        <f t="shared" si="2"/>
        <v>46092</v>
      </c>
      <c r="N8" s="19">
        <f t="shared" si="2"/>
        <v>46093</v>
      </c>
      <c r="O8" s="19">
        <f t="shared" si="2"/>
        <v>46094</v>
      </c>
      <c r="P8" s="20">
        <f t="shared" si="2"/>
        <v>46095</v>
      </c>
      <c r="Q8" s="20">
        <f t="shared" si="2"/>
        <v>46096</v>
      </c>
      <c r="S8" s="23" t="s">
        <v>16</v>
      </c>
      <c r="T8" s="23"/>
    </row>
    <row r="9" spans="2:20" ht="15" customHeight="1" x14ac:dyDescent="0.3">
      <c r="D9" s="3">
        <v>6</v>
      </c>
      <c r="E9" s="74">
        <f t="shared" ca="1" si="0"/>
        <v>46091</v>
      </c>
      <c r="F9" s="75"/>
      <c r="G9" s="75"/>
      <c r="H9" s="75"/>
      <c r="I9" s="75"/>
      <c r="J9"/>
      <c r="K9" s="19">
        <f t="shared" si="3"/>
        <v>46097</v>
      </c>
      <c r="L9" s="19">
        <f t="shared" si="2"/>
        <v>46098</v>
      </c>
      <c r="M9" s="19">
        <f t="shared" si="2"/>
        <v>46099</v>
      </c>
      <c r="N9" s="19">
        <f t="shared" si="2"/>
        <v>46100</v>
      </c>
      <c r="O9" s="19">
        <f t="shared" si="2"/>
        <v>46101</v>
      </c>
      <c r="P9" s="20">
        <f t="shared" si="2"/>
        <v>46102</v>
      </c>
      <c r="Q9" s="20">
        <f t="shared" si="2"/>
        <v>46103</v>
      </c>
      <c r="S9" s="23" t="s">
        <v>112</v>
      </c>
      <c r="T9" s="23"/>
    </row>
    <row r="10" spans="2:20" ht="15" customHeight="1" x14ac:dyDescent="0.3">
      <c r="D10" s="3">
        <v>7</v>
      </c>
      <c r="E10" s="74">
        <f t="shared" ca="1" si="0"/>
        <v>46091</v>
      </c>
      <c r="F10" s="75"/>
      <c r="G10" s="75"/>
      <c r="H10" s="75"/>
      <c r="I10" s="75"/>
      <c r="J10"/>
      <c r="K10" s="19">
        <f t="shared" si="3"/>
        <v>46104</v>
      </c>
      <c r="L10" s="19">
        <f t="shared" si="2"/>
        <v>46105</v>
      </c>
      <c r="M10" s="19">
        <f t="shared" si="2"/>
        <v>46106</v>
      </c>
      <c r="N10" s="19">
        <f t="shared" si="2"/>
        <v>46107</v>
      </c>
      <c r="O10" s="19">
        <f t="shared" si="2"/>
        <v>46108</v>
      </c>
      <c r="P10" s="20">
        <f t="shared" si="2"/>
        <v>46109</v>
      </c>
      <c r="Q10" s="20">
        <f t="shared" si="2"/>
        <v>46110</v>
      </c>
      <c r="S10" s="23" t="s">
        <v>113</v>
      </c>
      <c r="T10" s="23"/>
    </row>
    <row r="11" spans="2:20" ht="16.5" x14ac:dyDescent="0.3">
      <c r="B11" s="42" t="s">
        <v>7</v>
      </c>
      <c r="C11" s="42" t="s">
        <v>6</v>
      </c>
      <c r="D11" s="3">
        <v>8</v>
      </c>
      <c r="E11" s="74">
        <f t="shared" ca="1" si="0"/>
        <v>46091</v>
      </c>
      <c r="F11" s="75"/>
      <c r="G11" s="75"/>
      <c r="H11" s="75"/>
      <c r="I11" s="75"/>
      <c r="J11"/>
      <c r="K11" s="19">
        <f t="shared" si="3"/>
        <v>46111</v>
      </c>
      <c r="L11" s="19">
        <f t="shared" si="2"/>
        <v>46112</v>
      </c>
      <c r="M11" s="19">
        <f t="shared" si="2"/>
        <v>46113</v>
      </c>
      <c r="N11" s="19">
        <f t="shared" si="2"/>
        <v>46114</v>
      </c>
      <c r="O11" s="19">
        <f t="shared" si="2"/>
        <v>46115</v>
      </c>
      <c r="P11" s="20">
        <f t="shared" si="2"/>
        <v>46116</v>
      </c>
      <c r="Q11" s="20">
        <f t="shared" si="2"/>
        <v>46117</v>
      </c>
      <c r="S11" s="23" t="s">
        <v>114</v>
      </c>
      <c r="T11" s="23"/>
    </row>
    <row r="12" spans="2:20" x14ac:dyDescent="0.25">
      <c r="B12" s="9" t="s">
        <v>8</v>
      </c>
      <c r="C12" s="9" t="s">
        <v>42</v>
      </c>
      <c r="D12" s="3">
        <v>9</v>
      </c>
      <c r="E12" s="74">
        <f t="shared" ca="1" si="0"/>
        <v>46091</v>
      </c>
      <c r="F12" s="75"/>
      <c r="G12" s="75"/>
      <c r="H12" s="75"/>
      <c r="I12" s="75"/>
      <c r="J12"/>
      <c r="K12"/>
      <c r="L12"/>
      <c r="M12"/>
      <c r="N12"/>
      <c r="O12"/>
      <c r="P12"/>
      <c r="Q12"/>
      <c r="S12" s="23" t="s">
        <v>115</v>
      </c>
      <c r="T12" s="23"/>
    </row>
    <row r="13" spans="2:20" x14ac:dyDescent="0.25">
      <c r="B13" s="9" t="s">
        <v>44</v>
      </c>
      <c r="C13" s="9" t="s">
        <v>43</v>
      </c>
      <c r="D13" s="3">
        <v>10</v>
      </c>
      <c r="E13" s="74">
        <f t="shared" ca="1" si="0"/>
        <v>46091</v>
      </c>
      <c r="F13" s="75"/>
      <c r="G13" s="75"/>
      <c r="H13" s="75"/>
      <c r="I13" s="75"/>
      <c r="J13"/>
      <c r="K13"/>
      <c r="L13"/>
      <c r="M13"/>
      <c r="N13"/>
      <c r="O13"/>
      <c r="P13"/>
      <c r="Q13"/>
      <c r="S13" s="23" t="s">
        <v>116</v>
      </c>
      <c r="T13" s="23"/>
    </row>
    <row r="14" spans="2:20" x14ac:dyDescent="0.25">
      <c r="B14" s="9" t="s">
        <v>9</v>
      </c>
      <c r="C14" s="9" t="s">
        <v>83</v>
      </c>
      <c r="D14" s="3">
        <v>11</v>
      </c>
      <c r="E14" s="74">
        <f t="shared" ca="1" si="0"/>
        <v>46091</v>
      </c>
      <c r="F14" s="75"/>
      <c r="G14" s="75"/>
      <c r="H14" s="75"/>
      <c r="I14" s="75"/>
    </row>
    <row r="15" spans="2:20" x14ac:dyDescent="0.25">
      <c r="B15" s="9" t="s">
        <v>10</v>
      </c>
      <c r="C15" s="9" t="s">
        <v>47</v>
      </c>
      <c r="D15" s="3">
        <v>12</v>
      </c>
      <c r="E15" s="74">
        <f t="shared" ca="1" si="0"/>
        <v>46091</v>
      </c>
      <c r="F15" s="75"/>
      <c r="G15" s="75"/>
      <c r="H15" s="75"/>
      <c r="I15" s="75"/>
    </row>
    <row r="16" spans="2:20" x14ac:dyDescent="0.25">
      <c r="B16" s="9" t="s">
        <v>76</v>
      </c>
      <c r="C16" s="9" t="s">
        <v>46</v>
      </c>
      <c r="D16" s="3">
        <v>13</v>
      </c>
      <c r="E16" s="74">
        <f t="shared" ca="1" si="0"/>
        <v>46091</v>
      </c>
      <c r="F16" s="75"/>
      <c r="G16" s="75"/>
      <c r="H16" s="75"/>
      <c r="I16" s="75"/>
    </row>
    <row r="17" spans="4:9" x14ac:dyDescent="0.25">
      <c r="D17" s="3">
        <v>14</v>
      </c>
      <c r="E17" s="74">
        <f t="shared" ca="1" si="0"/>
        <v>46091</v>
      </c>
      <c r="F17" s="75"/>
      <c r="G17" s="75"/>
      <c r="H17" s="75"/>
      <c r="I17" s="75"/>
    </row>
    <row r="18" spans="4:9" x14ac:dyDescent="0.25">
      <c r="D18" s="3">
        <v>15</v>
      </c>
      <c r="E18" s="74">
        <f t="shared" ca="1" si="0"/>
        <v>46091</v>
      </c>
      <c r="F18" s="75"/>
      <c r="G18" s="75"/>
      <c r="H18" s="75"/>
      <c r="I18" s="75"/>
    </row>
    <row r="19" spans="4:9" x14ac:dyDescent="0.25">
      <c r="D19" s="3">
        <v>16</v>
      </c>
      <c r="E19" s="74">
        <f t="shared" ca="1" si="0"/>
        <v>46091</v>
      </c>
      <c r="F19" s="75"/>
      <c r="G19" s="75"/>
      <c r="H19" s="75"/>
      <c r="I19" s="75"/>
    </row>
    <row r="20" spans="4:9" x14ac:dyDescent="0.25">
      <c r="D20" s="3">
        <v>17</v>
      </c>
      <c r="E20" s="74">
        <f t="shared" ca="1" si="0"/>
        <v>46091</v>
      </c>
      <c r="F20" s="75"/>
      <c r="G20" s="75"/>
      <c r="H20" s="75"/>
      <c r="I20" s="75"/>
    </row>
    <row r="21" spans="4:9" x14ac:dyDescent="0.25">
      <c r="D21" s="3">
        <v>18</v>
      </c>
      <c r="E21" s="74">
        <f t="shared" ca="1" si="0"/>
        <v>46091</v>
      </c>
      <c r="F21" s="75"/>
      <c r="G21" s="75"/>
      <c r="H21" s="75"/>
      <c r="I21" s="75"/>
    </row>
    <row r="22" spans="4:9" x14ac:dyDescent="0.25">
      <c r="D22" s="3">
        <v>19</v>
      </c>
      <c r="E22" s="74">
        <f t="shared" ca="1" si="0"/>
        <v>46091</v>
      </c>
      <c r="F22" s="75"/>
      <c r="G22" s="75"/>
      <c r="H22" s="75"/>
      <c r="I22" s="75"/>
    </row>
    <row r="23" spans="4:9" x14ac:dyDescent="0.25">
      <c r="D23" s="3">
        <v>20</v>
      </c>
      <c r="E23" s="74">
        <f t="shared" ca="1" si="0"/>
        <v>46091</v>
      </c>
      <c r="F23" s="75"/>
      <c r="G23" s="75"/>
      <c r="H23" s="75"/>
      <c r="I23" s="75"/>
    </row>
  </sheetData>
  <mergeCells count="3">
    <mergeCell ref="B5:C6"/>
    <mergeCell ref="B7:C8"/>
    <mergeCell ref="E1:I2"/>
  </mergeCells>
  <phoneticPr fontId="4" type="noConversion"/>
  <conditionalFormatting sqref="K6:Q11">
    <cfRule type="expression" dxfId="2" priority="4">
      <formula>K6&gt;EOMONTH($S$1,0)</formula>
    </cfRule>
    <cfRule type="expression" dxfId="1" priority="5">
      <formula>K6&lt;$S$1</formula>
    </cfRule>
  </conditionalFormatting>
  <dataValidations count="1">
    <dataValidation type="list" allowBlank="1" showInputMessage="1" showErrorMessage="1" sqref="L3" xr:uid="{9A3B829F-5878-40CF-B532-1B685FAE9A27}">
      <formula1>$S$2:$S$13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Menu">
                <anchor moveWithCells="1" sizeWithCells="1">
                  <from>
                    <xdr:col>10</xdr:col>
                    <xdr:colOff>47625</xdr:colOff>
                    <xdr:row>13</xdr:row>
                    <xdr:rowOff>171450</xdr:rowOff>
                  </from>
                  <to>
                    <xdr:col>12</xdr:col>
                    <xdr:colOff>152400</xdr:colOff>
                    <xdr:row>16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53500-CE23-4520-AE08-CBDF04E073F6}">
  <sheetPr codeName="Hoja4"/>
  <dimension ref="A1:E143"/>
  <sheetViews>
    <sheetView showGridLines="0" zoomScale="85" zoomScaleNormal="85" workbookViewId="0">
      <selection activeCell="B8" sqref="B8"/>
    </sheetView>
  </sheetViews>
  <sheetFormatPr baseColWidth="10" defaultRowHeight="15" x14ac:dyDescent="0.25"/>
  <cols>
    <col min="1" max="1" width="9.5703125" style="74" bestFit="1" customWidth="1"/>
    <col min="2" max="2" width="13.140625" style="75" bestFit="1" customWidth="1"/>
    <col min="3" max="3" width="15.42578125" style="75" bestFit="1" customWidth="1"/>
    <col min="4" max="4" width="17.28515625" style="75" bestFit="1" customWidth="1"/>
    <col min="5" max="5" width="8" style="75" bestFit="1" customWidth="1"/>
  </cols>
  <sheetData>
    <row r="1" spans="1:5" x14ac:dyDescent="0.25">
      <c r="A1" s="118" t="s">
        <v>78</v>
      </c>
      <c r="B1" s="118"/>
      <c r="C1" s="118"/>
      <c r="D1" s="118"/>
      <c r="E1" s="118"/>
    </row>
    <row r="2" spans="1:5" x14ac:dyDescent="0.25">
      <c r="A2" s="118"/>
      <c r="B2" s="118"/>
      <c r="C2" s="118"/>
      <c r="D2" s="118"/>
      <c r="E2" s="118"/>
    </row>
    <row r="3" spans="1:5" x14ac:dyDescent="0.25">
      <c r="A3" s="74" t="s">
        <v>4</v>
      </c>
      <c r="B3" s="75" t="s">
        <v>0</v>
      </c>
      <c r="C3" s="75" t="s">
        <v>5</v>
      </c>
      <c r="D3" s="75" t="s">
        <v>6</v>
      </c>
      <c r="E3" s="75" t="s">
        <v>41</v>
      </c>
    </row>
    <row r="4" spans="1:5" x14ac:dyDescent="0.25">
      <c r="A4" s="74">
        <v>46091</v>
      </c>
    </row>
    <row r="5" spans="1:5" x14ac:dyDescent="0.25">
      <c r="A5" s="74">
        <v>46091</v>
      </c>
    </row>
    <row r="6" spans="1:5" x14ac:dyDescent="0.25">
      <c r="A6" s="74">
        <v>46091</v>
      </c>
    </row>
    <row r="7" spans="1:5" x14ac:dyDescent="0.25">
      <c r="A7" s="74">
        <v>46091</v>
      </c>
    </row>
    <row r="8" spans="1:5" x14ac:dyDescent="0.25">
      <c r="A8" s="74">
        <v>46091</v>
      </c>
    </row>
    <row r="9" spans="1:5" x14ac:dyDescent="0.25">
      <c r="A9" s="74">
        <v>46091</v>
      </c>
    </row>
    <row r="10" spans="1:5" x14ac:dyDescent="0.25">
      <c r="A10" s="74">
        <v>46091</v>
      </c>
    </row>
    <row r="11" spans="1:5" x14ac:dyDescent="0.25">
      <c r="A11" s="74">
        <v>46091</v>
      </c>
    </row>
    <row r="12" spans="1:5" x14ac:dyDescent="0.25">
      <c r="A12" s="74">
        <v>46091</v>
      </c>
    </row>
    <row r="13" spans="1:5" x14ac:dyDescent="0.25">
      <c r="A13" s="74">
        <v>46091</v>
      </c>
    </row>
    <row r="14" spans="1:5" x14ac:dyDescent="0.25">
      <c r="A14" s="74">
        <v>46091</v>
      </c>
    </row>
    <row r="15" spans="1:5" x14ac:dyDescent="0.25">
      <c r="A15" s="74">
        <v>46091</v>
      </c>
    </row>
    <row r="16" spans="1:5" x14ac:dyDescent="0.25">
      <c r="A16" s="74">
        <v>46091</v>
      </c>
    </row>
    <row r="17" spans="1:1" x14ac:dyDescent="0.25">
      <c r="A17" s="74">
        <v>46091</v>
      </c>
    </row>
    <row r="18" spans="1:1" x14ac:dyDescent="0.25">
      <c r="A18" s="74">
        <v>46091</v>
      </c>
    </row>
    <row r="19" spans="1:1" x14ac:dyDescent="0.25">
      <c r="A19" s="74">
        <v>46091</v>
      </c>
    </row>
    <row r="20" spans="1:1" x14ac:dyDescent="0.25">
      <c r="A20" s="74">
        <v>46091</v>
      </c>
    </row>
    <row r="21" spans="1:1" x14ac:dyDescent="0.25">
      <c r="A21" s="74">
        <v>46091</v>
      </c>
    </row>
    <row r="22" spans="1:1" x14ac:dyDescent="0.25">
      <c r="A22" s="74">
        <v>46091</v>
      </c>
    </row>
    <row r="23" spans="1:1" x14ac:dyDescent="0.25">
      <c r="A23" s="74">
        <v>46091</v>
      </c>
    </row>
    <row r="24" spans="1:1" x14ac:dyDescent="0.25">
      <c r="A24" s="74">
        <v>46091</v>
      </c>
    </row>
    <row r="25" spans="1:1" x14ac:dyDescent="0.25">
      <c r="A25" s="74">
        <v>46091</v>
      </c>
    </row>
    <row r="26" spans="1:1" x14ac:dyDescent="0.25">
      <c r="A26" s="74">
        <v>46091</v>
      </c>
    </row>
    <row r="27" spans="1:1" x14ac:dyDescent="0.25">
      <c r="A27" s="74">
        <v>46091</v>
      </c>
    </row>
    <row r="28" spans="1:1" x14ac:dyDescent="0.25">
      <c r="A28" s="74">
        <v>46091</v>
      </c>
    </row>
    <row r="29" spans="1:1" x14ac:dyDescent="0.25">
      <c r="A29" s="74">
        <v>46091</v>
      </c>
    </row>
    <row r="30" spans="1:1" x14ac:dyDescent="0.25">
      <c r="A30" s="74">
        <v>46091</v>
      </c>
    </row>
    <row r="31" spans="1:1" x14ac:dyDescent="0.25">
      <c r="A31" s="74">
        <v>46091</v>
      </c>
    </row>
    <row r="32" spans="1:1" x14ac:dyDescent="0.25">
      <c r="A32" s="74">
        <v>46091</v>
      </c>
    </row>
    <row r="33" spans="1:5" x14ac:dyDescent="0.25">
      <c r="A33" s="74">
        <v>46091</v>
      </c>
    </row>
    <row r="34" spans="1:5" x14ac:dyDescent="0.25">
      <c r="A34" s="74">
        <v>46091</v>
      </c>
    </row>
    <row r="35" spans="1:5" x14ac:dyDescent="0.25">
      <c r="A35" s="74">
        <v>46091</v>
      </c>
    </row>
    <row r="36" spans="1:5" x14ac:dyDescent="0.25">
      <c r="A36" s="74">
        <v>46091</v>
      </c>
    </row>
    <row r="37" spans="1:5" x14ac:dyDescent="0.25">
      <c r="A37" s="74">
        <v>46091</v>
      </c>
    </row>
    <row r="38" spans="1:5" x14ac:dyDescent="0.25">
      <c r="A38" s="74">
        <v>46091</v>
      </c>
    </row>
    <row r="39" spans="1:5" x14ac:dyDescent="0.25">
      <c r="A39" s="74">
        <v>46091</v>
      </c>
    </row>
    <row r="40" spans="1:5" x14ac:dyDescent="0.25">
      <c r="A40" s="74">
        <v>46091</v>
      </c>
    </row>
    <row r="41" spans="1:5" x14ac:dyDescent="0.25">
      <c r="A41" s="74">
        <v>46091</v>
      </c>
    </row>
    <row r="42" spans="1:5" x14ac:dyDescent="0.25">
      <c r="A42" s="74">
        <v>46091</v>
      </c>
    </row>
    <row r="43" spans="1:5" x14ac:dyDescent="0.25">
      <c r="A43" s="74">
        <v>46091</v>
      </c>
    </row>
    <row r="44" spans="1:5" x14ac:dyDescent="0.25">
      <c r="A44" s="74">
        <v>45698</v>
      </c>
      <c r="B44" s="75" t="s">
        <v>2</v>
      </c>
      <c r="C44" s="75" t="s">
        <v>8</v>
      </c>
      <c r="D44" s="75" t="s">
        <v>42</v>
      </c>
      <c r="E44" s="75">
        <v>1</v>
      </c>
    </row>
    <row r="45" spans="1:5" x14ac:dyDescent="0.25">
      <c r="A45" s="74">
        <v>45698</v>
      </c>
      <c r="B45" s="75" t="s">
        <v>3</v>
      </c>
      <c r="C45" s="75" t="s">
        <v>8</v>
      </c>
      <c r="D45" s="75" t="s">
        <v>42</v>
      </c>
      <c r="E45" s="75">
        <v>1</v>
      </c>
    </row>
    <row r="46" spans="1:5" x14ac:dyDescent="0.25">
      <c r="A46" s="74">
        <v>45698</v>
      </c>
      <c r="B46" s="75" t="s">
        <v>11</v>
      </c>
      <c r="C46" s="75" t="s">
        <v>44</v>
      </c>
      <c r="D46" s="75" t="s">
        <v>47</v>
      </c>
      <c r="E46" s="75">
        <v>2</v>
      </c>
    </row>
    <row r="47" spans="1:5" x14ac:dyDescent="0.25">
      <c r="A47" s="74">
        <v>45698</v>
      </c>
      <c r="B47" s="75" t="s">
        <v>12</v>
      </c>
      <c r="C47" s="75" t="s">
        <v>44</v>
      </c>
      <c r="D47" s="75" t="s">
        <v>47</v>
      </c>
      <c r="E47" s="75">
        <v>3</v>
      </c>
    </row>
    <row r="48" spans="1:5" x14ac:dyDescent="0.25">
      <c r="A48" s="74">
        <v>45698</v>
      </c>
      <c r="B48" s="75" t="s">
        <v>13</v>
      </c>
      <c r="C48" s="75" t="s">
        <v>9</v>
      </c>
      <c r="D48" s="75" t="s">
        <v>46</v>
      </c>
      <c r="E48" s="75">
        <v>2</v>
      </c>
    </row>
    <row r="49" spans="1:5" x14ac:dyDescent="0.25">
      <c r="A49" s="74">
        <v>45698</v>
      </c>
      <c r="B49" s="75" t="s">
        <v>14</v>
      </c>
      <c r="C49" s="75" t="s">
        <v>10</v>
      </c>
      <c r="D49" s="75" t="s">
        <v>43</v>
      </c>
      <c r="E49" s="75">
        <v>5</v>
      </c>
    </row>
    <row r="50" spans="1:5" x14ac:dyDescent="0.25">
      <c r="A50" s="74">
        <v>45698</v>
      </c>
      <c r="B50" s="75" t="s">
        <v>15</v>
      </c>
      <c r="C50" s="75" t="s">
        <v>10</v>
      </c>
      <c r="D50" s="75" t="s">
        <v>43</v>
      </c>
      <c r="E50" s="75">
        <v>5</v>
      </c>
    </row>
    <row r="51" spans="1:5" x14ac:dyDescent="0.25">
      <c r="A51" s="74">
        <v>45698</v>
      </c>
      <c r="B51" s="75" t="s">
        <v>16</v>
      </c>
      <c r="C51" s="75" t="s">
        <v>9</v>
      </c>
      <c r="D51" s="75" t="s">
        <v>46</v>
      </c>
      <c r="E51" s="75">
        <v>2</v>
      </c>
    </row>
    <row r="52" spans="1:5" x14ac:dyDescent="0.25">
      <c r="A52" s="74">
        <v>45698</v>
      </c>
      <c r="B52" s="75" t="s">
        <v>17</v>
      </c>
      <c r="C52" s="75" t="s">
        <v>44</v>
      </c>
      <c r="D52" s="75" t="s">
        <v>45</v>
      </c>
      <c r="E52" s="75">
        <v>1</v>
      </c>
    </row>
    <row r="53" spans="1:5" x14ac:dyDescent="0.25">
      <c r="A53" s="74">
        <v>45698</v>
      </c>
      <c r="B53" s="75" t="s">
        <v>18</v>
      </c>
      <c r="C53" s="75" t="s">
        <v>44</v>
      </c>
      <c r="D53" s="75" t="s">
        <v>45</v>
      </c>
      <c r="E53" s="75">
        <v>1</v>
      </c>
    </row>
    <row r="54" spans="1:5" x14ac:dyDescent="0.25">
      <c r="A54" s="74">
        <v>45698</v>
      </c>
      <c r="B54" s="75" t="s">
        <v>19</v>
      </c>
      <c r="C54" s="75" t="s">
        <v>44</v>
      </c>
      <c r="D54" s="75" t="s">
        <v>45</v>
      </c>
      <c r="E54" s="75">
        <v>1</v>
      </c>
    </row>
    <row r="55" spans="1:5" x14ac:dyDescent="0.25">
      <c r="A55" s="74">
        <v>45698</v>
      </c>
      <c r="B55" s="75" t="s">
        <v>20</v>
      </c>
      <c r="C55" s="75" t="s">
        <v>44</v>
      </c>
      <c r="D55" s="75" t="s">
        <v>45</v>
      </c>
      <c r="E55" s="75">
        <v>1</v>
      </c>
    </row>
    <row r="56" spans="1:5" x14ac:dyDescent="0.25">
      <c r="A56" s="74">
        <v>45698</v>
      </c>
      <c r="B56" s="75" t="s">
        <v>21</v>
      </c>
      <c r="C56" s="75" t="s">
        <v>8</v>
      </c>
      <c r="D56" s="75" t="s">
        <v>42</v>
      </c>
      <c r="E56" s="75">
        <v>1</v>
      </c>
    </row>
    <row r="57" spans="1:5" x14ac:dyDescent="0.25">
      <c r="A57" s="74">
        <v>45698</v>
      </c>
      <c r="B57" s="75" t="s">
        <v>22</v>
      </c>
      <c r="C57" s="75" t="s">
        <v>8</v>
      </c>
      <c r="D57" s="75" t="s">
        <v>42</v>
      </c>
      <c r="E57" s="75">
        <v>1</v>
      </c>
    </row>
    <row r="58" spans="1:5" x14ac:dyDescent="0.25">
      <c r="A58" s="74">
        <v>45698</v>
      </c>
      <c r="B58" s="75" t="s">
        <v>23</v>
      </c>
      <c r="C58" s="75" t="s">
        <v>8</v>
      </c>
      <c r="D58" s="75" t="s">
        <v>42</v>
      </c>
      <c r="E58" s="75">
        <v>1</v>
      </c>
    </row>
    <row r="59" spans="1:5" x14ac:dyDescent="0.25">
      <c r="A59" s="74">
        <v>45698</v>
      </c>
      <c r="B59" s="75" t="s">
        <v>24</v>
      </c>
      <c r="C59" s="75" t="s">
        <v>8</v>
      </c>
      <c r="D59" s="75" t="s">
        <v>42</v>
      </c>
      <c r="E59" s="75">
        <v>1</v>
      </c>
    </row>
    <row r="60" spans="1:5" x14ac:dyDescent="0.25">
      <c r="A60" s="74">
        <v>45698</v>
      </c>
      <c r="B60" s="75" t="s">
        <v>25</v>
      </c>
      <c r="C60" s="75" t="s">
        <v>8</v>
      </c>
      <c r="D60" s="75" t="s">
        <v>42</v>
      </c>
      <c r="E60" s="75">
        <v>1</v>
      </c>
    </row>
    <row r="61" spans="1:5" x14ac:dyDescent="0.25">
      <c r="A61" s="74">
        <v>45698</v>
      </c>
      <c r="B61" s="75" t="s">
        <v>26</v>
      </c>
      <c r="C61" s="75" t="s">
        <v>8</v>
      </c>
      <c r="D61" s="75" t="s">
        <v>42</v>
      </c>
      <c r="E61" s="75">
        <v>1</v>
      </c>
    </row>
    <row r="62" spans="1:5" x14ac:dyDescent="0.25">
      <c r="A62" s="74">
        <v>45698</v>
      </c>
      <c r="B62" s="75" t="s">
        <v>27</v>
      </c>
      <c r="C62" s="75" t="s">
        <v>8</v>
      </c>
      <c r="D62" s="75" t="s">
        <v>42</v>
      </c>
      <c r="E62" s="75">
        <v>1</v>
      </c>
    </row>
    <row r="63" spans="1:5" x14ac:dyDescent="0.25">
      <c r="A63" s="74">
        <v>45698</v>
      </c>
      <c r="B63" s="75" t="s">
        <v>53</v>
      </c>
      <c r="C63" s="75" t="s">
        <v>8</v>
      </c>
      <c r="D63" s="75" t="s">
        <v>42</v>
      </c>
      <c r="E63" s="75">
        <v>1</v>
      </c>
    </row>
    <row r="64" spans="1:5" x14ac:dyDescent="0.25">
      <c r="A64" s="74">
        <v>46061</v>
      </c>
      <c r="B64" s="75" t="s">
        <v>2</v>
      </c>
      <c r="C64" s="75" t="s">
        <v>8</v>
      </c>
      <c r="D64" s="75" t="s">
        <v>42</v>
      </c>
      <c r="E64" s="75">
        <v>1</v>
      </c>
    </row>
    <row r="65" spans="1:5" x14ac:dyDescent="0.25">
      <c r="A65" s="74">
        <v>46061</v>
      </c>
      <c r="B65" s="75" t="s">
        <v>3</v>
      </c>
      <c r="C65" s="75" t="s">
        <v>8</v>
      </c>
      <c r="D65" s="75" t="s">
        <v>42</v>
      </c>
      <c r="E65" s="75">
        <v>1</v>
      </c>
    </row>
    <row r="66" spans="1:5" x14ac:dyDescent="0.25">
      <c r="A66" s="74">
        <v>46061</v>
      </c>
      <c r="B66" s="75" t="s">
        <v>11</v>
      </c>
      <c r="C66" s="75" t="s">
        <v>44</v>
      </c>
      <c r="D66" s="75" t="s">
        <v>47</v>
      </c>
      <c r="E66" s="75">
        <v>2</v>
      </c>
    </row>
    <row r="67" spans="1:5" x14ac:dyDescent="0.25">
      <c r="A67" s="74">
        <v>46061</v>
      </c>
      <c r="B67" s="75" t="s">
        <v>12</v>
      </c>
      <c r="C67" s="75" t="s">
        <v>44</v>
      </c>
      <c r="D67" s="75" t="s">
        <v>47</v>
      </c>
      <c r="E67" s="75">
        <v>3</v>
      </c>
    </row>
    <row r="68" spans="1:5" x14ac:dyDescent="0.25">
      <c r="A68" s="74">
        <v>46061</v>
      </c>
      <c r="B68" s="75" t="s">
        <v>13</v>
      </c>
      <c r="C68" s="75" t="s">
        <v>9</v>
      </c>
      <c r="D68" s="75" t="s">
        <v>46</v>
      </c>
      <c r="E68" s="75">
        <v>2</v>
      </c>
    </row>
    <row r="69" spans="1:5" x14ac:dyDescent="0.25">
      <c r="A69" s="74">
        <v>46061</v>
      </c>
      <c r="B69" s="75" t="s">
        <v>14</v>
      </c>
      <c r="C69" s="75" t="s">
        <v>10</v>
      </c>
      <c r="D69" s="75" t="s">
        <v>43</v>
      </c>
      <c r="E69" s="75">
        <v>5</v>
      </c>
    </row>
    <row r="70" spans="1:5" x14ac:dyDescent="0.25">
      <c r="A70" s="74">
        <v>46061</v>
      </c>
      <c r="B70" s="75" t="s">
        <v>15</v>
      </c>
      <c r="C70" s="75" t="s">
        <v>10</v>
      </c>
      <c r="D70" s="75" t="s">
        <v>43</v>
      </c>
      <c r="E70" s="75">
        <v>5</v>
      </c>
    </row>
    <row r="71" spans="1:5" x14ac:dyDescent="0.25">
      <c r="A71" s="74">
        <v>46061</v>
      </c>
      <c r="B71" s="75" t="s">
        <v>16</v>
      </c>
      <c r="C71" s="75" t="s">
        <v>9</v>
      </c>
      <c r="D71" s="75" t="s">
        <v>46</v>
      </c>
      <c r="E71" s="75">
        <v>2</v>
      </c>
    </row>
    <row r="72" spans="1:5" x14ac:dyDescent="0.25">
      <c r="A72" s="74">
        <v>46061</v>
      </c>
      <c r="B72" s="75" t="s">
        <v>17</v>
      </c>
      <c r="C72" s="75" t="s">
        <v>44</v>
      </c>
      <c r="D72" s="75" t="s">
        <v>45</v>
      </c>
      <c r="E72" s="75">
        <v>1</v>
      </c>
    </row>
    <row r="73" spans="1:5" x14ac:dyDescent="0.25">
      <c r="A73" s="74">
        <v>46061</v>
      </c>
      <c r="B73" s="75" t="s">
        <v>18</v>
      </c>
      <c r="C73" s="75" t="s">
        <v>44</v>
      </c>
      <c r="D73" s="75" t="s">
        <v>45</v>
      </c>
      <c r="E73" s="75">
        <v>1</v>
      </c>
    </row>
    <row r="74" spans="1:5" x14ac:dyDescent="0.25">
      <c r="A74" s="74">
        <v>46061</v>
      </c>
      <c r="B74" s="75" t="s">
        <v>19</v>
      </c>
      <c r="C74" s="75" t="s">
        <v>44</v>
      </c>
      <c r="D74" s="75" t="s">
        <v>45</v>
      </c>
      <c r="E74" s="75">
        <v>1</v>
      </c>
    </row>
    <row r="75" spans="1:5" x14ac:dyDescent="0.25">
      <c r="A75" s="74">
        <v>46061</v>
      </c>
      <c r="B75" s="75" t="s">
        <v>20</v>
      </c>
      <c r="C75" s="75" t="s">
        <v>44</v>
      </c>
      <c r="D75" s="75" t="s">
        <v>45</v>
      </c>
      <c r="E75" s="75">
        <v>1</v>
      </c>
    </row>
    <row r="76" spans="1:5" x14ac:dyDescent="0.25">
      <c r="A76" s="74">
        <v>46061</v>
      </c>
      <c r="B76" s="75" t="s">
        <v>21</v>
      </c>
      <c r="C76" s="75" t="s">
        <v>8</v>
      </c>
      <c r="D76" s="75" t="s">
        <v>42</v>
      </c>
      <c r="E76" s="75">
        <v>1</v>
      </c>
    </row>
    <row r="77" spans="1:5" x14ac:dyDescent="0.25">
      <c r="A77" s="74">
        <v>46061</v>
      </c>
      <c r="B77" s="75" t="s">
        <v>22</v>
      </c>
      <c r="C77" s="75" t="s">
        <v>8</v>
      </c>
      <c r="D77" s="75" t="s">
        <v>42</v>
      </c>
      <c r="E77" s="75">
        <v>1</v>
      </c>
    </row>
    <row r="78" spans="1:5" x14ac:dyDescent="0.25">
      <c r="A78" s="74">
        <v>46061</v>
      </c>
      <c r="B78" s="75" t="s">
        <v>23</v>
      </c>
      <c r="C78" s="75" t="s">
        <v>8</v>
      </c>
      <c r="D78" s="75" t="s">
        <v>42</v>
      </c>
      <c r="E78" s="75">
        <v>1</v>
      </c>
    </row>
    <row r="79" spans="1:5" x14ac:dyDescent="0.25">
      <c r="A79" s="74">
        <v>46061</v>
      </c>
      <c r="B79" s="75" t="s">
        <v>24</v>
      </c>
      <c r="C79" s="75" t="s">
        <v>8</v>
      </c>
      <c r="D79" s="75" t="s">
        <v>42</v>
      </c>
      <c r="E79" s="75">
        <v>1</v>
      </c>
    </row>
    <row r="80" spans="1:5" x14ac:dyDescent="0.25">
      <c r="A80" s="74">
        <v>46061</v>
      </c>
      <c r="B80" s="75" t="s">
        <v>25</v>
      </c>
      <c r="C80" s="75" t="s">
        <v>8</v>
      </c>
      <c r="D80" s="75" t="s">
        <v>42</v>
      </c>
      <c r="E80" s="75">
        <v>1</v>
      </c>
    </row>
    <row r="81" spans="1:5" x14ac:dyDescent="0.25">
      <c r="A81" s="74">
        <v>46061</v>
      </c>
      <c r="B81" s="75" t="s">
        <v>26</v>
      </c>
      <c r="C81" s="75" t="s">
        <v>8</v>
      </c>
      <c r="D81" s="75" t="s">
        <v>42</v>
      </c>
      <c r="E81" s="75">
        <v>1</v>
      </c>
    </row>
    <row r="82" spans="1:5" x14ac:dyDescent="0.25">
      <c r="A82" s="74">
        <v>46061</v>
      </c>
      <c r="B82" s="75" t="s">
        <v>27</v>
      </c>
      <c r="C82" s="75" t="s">
        <v>8</v>
      </c>
      <c r="D82" s="75" t="s">
        <v>42</v>
      </c>
      <c r="E82" s="75">
        <v>1</v>
      </c>
    </row>
    <row r="83" spans="1:5" x14ac:dyDescent="0.25">
      <c r="A83" s="74">
        <v>46061</v>
      </c>
      <c r="B83" s="75" t="s">
        <v>53</v>
      </c>
      <c r="C83" s="75" t="s">
        <v>8</v>
      </c>
      <c r="D83" s="75" t="s">
        <v>42</v>
      </c>
      <c r="E83" s="75">
        <v>1</v>
      </c>
    </row>
    <row r="84" spans="1:5" x14ac:dyDescent="0.25">
      <c r="A84" s="74">
        <v>45723</v>
      </c>
      <c r="B84" s="75" t="s">
        <v>2</v>
      </c>
      <c r="C84" s="75" t="s">
        <v>8</v>
      </c>
      <c r="D84" s="75" t="s">
        <v>42</v>
      </c>
      <c r="E84" s="75">
        <v>1</v>
      </c>
    </row>
    <row r="85" spans="1:5" x14ac:dyDescent="0.25">
      <c r="A85" s="74">
        <v>45723</v>
      </c>
      <c r="B85" s="75" t="s">
        <v>3</v>
      </c>
      <c r="C85" s="75" t="s">
        <v>8</v>
      </c>
      <c r="D85" s="75" t="s">
        <v>42</v>
      </c>
      <c r="E85" s="75">
        <v>1</v>
      </c>
    </row>
    <row r="86" spans="1:5" x14ac:dyDescent="0.25">
      <c r="A86" s="74">
        <v>45723</v>
      </c>
      <c r="B86" s="75" t="s">
        <v>11</v>
      </c>
      <c r="C86" s="75" t="s">
        <v>44</v>
      </c>
      <c r="D86" s="75" t="s">
        <v>47</v>
      </c>
      <c r="E86" s="75">
        <v>2</v>
      </c>
    </row>
    <row r="87" spans="1:5" x14ac:dyDescent="0.25">
      <c r="A87" s="74">
        <v>45723</v>
      </c>
      <c r="B87" s="75" t="s">
        <v>12</v>
      </c>
      <c r="C87" s="75" t="s">
        <v>44</v>
      </c>
      <c r="D87" s="75" t="s">
        <v>47</v>
      </c>
      <c r="E87" s="75">
        <v>3</v>
      </c>
    </row>
    <row r="88" spans="1:5" x14ac:dyDescent="0.25">
      <c r="A88" s="74">
        <v>45723</v>
      </c>
      <c r="B88" s="75" t="s">
        <v>13</v>
      </c>
      <c r="C88" s="75" t="s">
        <v>9</v>
      </c>
      <c r="D88" s="75" t="s">
        <v>46</v>
      </c>
      <c r="E88" s="75">
        <v>2</v>
      </c>
    </row>
    <row r="89" spans="1:5" x14ac:dyDescent="0.25">
      <c r="A89" s="74">
        <v>45723</v>
      </c>
      <c r="B89" s="75" t="s">
        <v>14</v>
      </c>
      <c r="C89" s="75" t="s">
        <v>10</v>
      </c>
      <c r="D89" s="75" t="s">
        <v>43</v>
      </c>
      <c r="E89" s="75">
        <v>5</v>
      </c>
    </row>
    <row r="90" spans="1:5" x14ac:dyDescent="0.25">
      <c r="A90" s="74">
        <v>45723</v>
      </c>
      <c r="B90" s="75" t="s">
        <v>15</v>
      </c>
      <c r="C90" s="75" t="s">
        <v>10</v>
      </c>
      <c r="D90" s="75" t="s">
        <v>43</v>
      </c>
      <c r="E90" s="75">
        <v>5</v>
      </c>
    </row>
    <row r="91" spans="1:5" x14ac:dyDescent="0.25">
      <c r="A91" s="74">
        <v>45723</v>
      </c>
      <c r="B91" s="75" t="s">
        <v>16</v>
      </c>
      <c r="C91" s="75" t="s">
        <v>9</v>
      </c>
      <c r="D91" s="75" t="s">
        <v>46</v>
      </c>
      <c r="E91" s="75">
        <v>2</v>
      </c>
    </row>
    <row r="92" spans="1:5" x14ac:dyDescent="0.25">
      <c r="A92" s="74">
        <v>45723</v>
      </c>
      <c r="B92" s="75" t="s">
        <v>17</v>
      </c>
      <c r="C92" s="75" t="s">
        <v>44</v>
      </c>
      <c r="D92" s="75" t="s">
        <v>45</v>
      </c>
      <c r="E92" s="75">
        <v>1</v>
      </c>
    </row>
    <row r="93" spans="1:5" x14ac:dyDescent="0.25">
      <c r="A93" s="74">
        <v>45723</v>
      </c>
      <c r="B93" s="75" t="s">
        <v>18</v>
      </c>
      <c r="C93" s="75" t="s">
        <v>44</v>
      </c>
      <c r="D93" s="75" t="s">
        <v>45</v>
      </c>
      <c r="E93" s="75">
        <v>1</v>
      </c>
    </row>
    <row r="94" spans="1:5" x14ac:dyDescent="0.25">
      <c r="A94" s="74">
        <v>45723</v>
      </c>
      <c r="B94" s="75" t="s">
        <v>19</v>
      </c>
      <c r="C94" s="75" t="s">
        <v>44</v>
      </c>
      <c r="D94" s="75" t="s">
        <v>45</v>
      </c>
      <c r="E94" s="75">
        <v>1</v>
      </c>
    </row>
    <row r="95" spans="1:5" x14ac:dyDescent="0.25">
      <c r="A95" s="74">
        <v>45723</v>
      </c>
      <c r="B95" s="75" t="s">
        <v>20</v>
      </c>
      <c r="C95" s="75" t="s">
        <v>44</v>
      </c>
      <c r="D95" s="75" t="s">
        <v>45</v>
      </c>
      <c r="E95" s="75">
        <v>1</v>
      </c>
    </row>
    <row r="96" spans="1:5" x14ac:dyDescent="0.25">
      <c r="A96" s="74">
        <v>45723</v>
      </c>
      <c r="B96" s="75" t="s">
        <v>21</v>
      </c>
      <c r="C96" s="75" t="s">
        <v>8</v>
      </c>
      <c r="D96" s="75" t="s">
        <v>42</v>
      </c>
      <c r="E96" s="75">
        <v>1</v>
      </c>
    </row>
    <row r="97" spans="1:5" x14ac:dyDescent="0.25">
      <c r="A97" s="74">
        <v>45723</v>
      </c>
      <c r="B97" s="75" t="s">
        <v>22</v>
      </c>
      <c r="C97" s="75" t="s">
        <v>8</v>
      </c>
      <c r="D97" s="75" t="s">
        <v>42</v>
      </c>
      <c r="E97" s="75">
        <v>1</v>
      </c>
    </row>
    <row r="98" spans="1:5" x14ac:dyDescent="0.25">
      <c r="A98" s="74">
        <v>45723</v>
      </c>
      <c r="B98" s="75" t="s">
        <v>23</v>
      </c>
      <c r="C98" s="75" t="s">
        <v>8</v>
      </c>
      <c r="D98" s="75" t="s">
        <v>42</v>
      </c>
      <c r="E98" s="75">
        <v>1</v>
      </c>
    </row>
    <row r="99" spans="1:5" x14ac:dyDescent="0.25">
      <c r="A99" s="74">
        <v>45723</v>
      </c>
      <c r="B99" s="75" t="s">
        <v>24</v>
      </c>
      <c r="C99" s="75" t="s">
        <v>8</v>
      </c>
      <c r="D99" s="75" t="s">
        <v>42</v>
      </c>
      <c r="E99" s="75">
        <v>1</v>
      </c>
    </row>
    <row r="100" spans="1:5" x14ac:dyDescent="0.25">
      <c r="A100" s="74">
        <v>45723</v>
      </c>
      <c r="B100" s="75" t="s">
        <v>25</v>
      </c>
      <c r="C100" s="75" t="s">
        <v>8</v>
      </c>
      <c r="D100" s="75" t="s">
        <v>42</v>
      </c>
      <c r="E100" s="75">
        <v>1</v>
      </c>
    </row>
    <row r="101" spans="1:5" x14ac:dyDescent="0.25">
      <c r="A101" s="74">
        <v>45723</v>
      </c>
      <c r="B101" s="75" t="s">
        <v>26</v>
      </c>
      <c r="C101" s="75" t="s">
        <v>8</v>
      </c>
      <c r="D101" s="75" t="s">
        <v>42</v>
      </c>
      <c r="E101" s="75">
        <v>1</v>
      </c>
    </row>
    <row r="102" spans="1:5" x14ac:dyDescent="0.25">
      <c r="A102" s="74">
        <v>45723</v>
      </c>
      <c r="B102" s="75" t="s">
        <v>27</v>
      </c>
      <c r="C102" s="75" t="s">
        <v>8</v>
      </c>
      <c r="D102" s="75" t="s">
        <v>42</v>
      </c>
      <c r="E102" s="75">
        <v>1</v>
      </c>
    </row>
    <row r="103" spans="1:5" x14ac:dyDescent="0.25">
      <c r="A103" s="74">
        <v>45723</v>
      </c>
      <c r="B103" s="75" t="s">
        <v>53</v>
      </c>
      <c r="C103" s="75" t="s">
        <v>8</v>
      </c>
      <c r="D103" s="75" t="s">
        <v>42</v>
      </c>
      <c r="E103" s="75">
        <v>1</v>
      </c>
    </row>
    <row r="104" spans="1:5" x14ac:dyDescent="0.25">
      <c r="A104" s="74">
        <v>45723</v>
      </c>
      <c r="B104" s="75" t="s">
        <v>2</v>
      </c>
      <c r="C104" s="75" t="s">
        <v>8</v>
      </c>
      <c r="D104" s="75" t="s">
        <v>42</v>
      </c>
      <c r="E104" s="75">
        <v>1</v>
      </c>
    </row>
    <row r="105" spans="1:5" x14ac:dyDescent="0.25">
      <c r="A105" s="74">
        <v>45723</v>
      </c>
      <c r="B105" s="75" t="s">
        <v>3</v>
      </c>
      <c r="C105" s="75" t="s">
        <v>8</v>
      </c>
      <c r="D105" s="75" t="s">
        <v>42</v>
      </c>
      <c r="E105" s="75">
        <v>1</v>
      </c>
    </row>
    <row r="106" spans="1:5" x14ac:dyDescent="0.25">
      <c r="A106" s="74">
        <v>45723</v>
      </c>
      <c r="B106" s="75" t="s">
        <v>11</v>
      </c>
      <c r="C106" s="75" t="s">
        <v>44</v>
      </c>
      <c r="D106" s="75" t="s">
        <v>47</v>
      </c>
      <c r="E106" s="75">
        <v>2</v>
      </c>
    </row>
    <row r="107" spans="1:5" x14ac:dyDescent="0.25">
      <c r="A107" s="74">
        <v>45723</v>
      </c>
      <c r="B107" s="75" t="s">
        <v>12</v>
      </c>
      <c r="C107" s="75" t="s">
        <v>44</v>
      </c>
      <c r="D107" s="75" t="s">
        <v>47</v>
      </c>
      <c r="E107" s="75">
        <v>3</v>
      </c>
    </row>
    <row r="108" spans="1:5" x14ac:dyDescent="0.25">
      <c r="A108" s="74">
        <v>45723</v>
      </c>
      <c r="B108" s="75" t="s">
        <v>13</v>
      </c>
      <c r="C108" s="75" t="s">
        <v>9</v>
      </c>
      <c r="D108" s="75" t="s">
        <v>46</v>
      </c>
      <c r="E108" s="75">
        <v>2</v>
      </c>
    </row>
    <row r="109" spans="1:5" x14ac:dyDescent="0.25">
      <c r="A109" s="74">
        <v>45723</v>
      </c>
      <c r="B109" s="75" t="s">
        <v>14</v>
      </c>
      <c r="C109" s="75" t="s">
        <v>10</v>
      </c>
      <c r="D109" s="75" t="s">
        <v>43</v>
      </c>
      <c r="E109" s="75">
        <v>5</v>
      </c>
    </row>
    <row r="110" spans="1:5" x14ac:dyDescent="0.25">
      <c r="A110" s="74">
        <v>45723</v>
      </c>
      <c r="B110" s="75" t="s">
        <v>15</v>
      </c>
      <c r="C110" s="75" t="s">
        <v>10</v>
      </c>
      <c r="D110" s="75" t="s">
        <v>43</v>
      </c>
      <c r="E110" s="75">
        <v>5</v>
      </c>
    </row>
    <row r="111" spans="1:5" x14ac:dyDescent="0.25">
      <c r="A111" s="74">
        <v>45723</v>
      </c>
      <c r="B111" s="75" t="s">
        <v>16</v>
      </c>
      <c r="C111" s="75" t="s">
        <v>9</v>
      </c>
      <c r="D111" s="75" t="s">
        <v>46</v>
      </c>
      <c r="E111" s="75">
        <v>2</v>
      </c>
    </row>
    <row r="112" spans="1:5" x14ac:dyDescent="0.25">
      <c r="A112" s="74">
        <v>45723</v>
      </c>
      <c r="B112" s="75" t="s">
        <v>17</v>
      </c>
      <c r="C112" s="75" t="s">
        <v>44</v>
      </c>
      <c r="D112" s="75" t="s">
        <v>45</v>
      </c>
      <c r="E112" s="75">
        <v>1</v>
      </c>
    </row>
    <row r="113" spans="1:5" x14ac:dyDescent="0.25">
      <c r="A113" s="74">
        <v>45723</v>
      </c>
      <c r="B113" s="75" t="s">
        <v>18</v>
      </c>
      <c r="C113" s="75" t="s">
        <v>44</v>
      </c>
      <c r="D113" s="75" t="s">
        <v>45</v>
      </c>
      <c r="E113" s="75">
        <v>1</v>
      </c>
    </row>
    <row r="114" spans="1:5" x14ac:dyDescent="0.25">
      <c r="A114" s="74">
        <v>45723</v>
      </c>
      <c r="B114" s="75" t="s">
        <v>19</v>
      </c>
      <c r="C114" s="75" t="s">
        <v>44</v>
      </c>
      <c r="D114" s="75" t="s">
        <v>45</v>
      </c>
      <c r="E114" s="75">
        <v>1</v>
      </c>
    </row>
    <row r="115" spans="1:5" x14ac:dyDescent="0.25">
      <c r="A115" s="74">
        <v>45723</v>
      </c>
      <c r="B115" s="75" t="s">
        <v>20</v>
      </c>
      <c r="C115" s="75" t="s">
        <v>44</v>
      </c>
      <c r="D115" s="75" t="s">
        <v>45</v>
      </c>
      <c r="E115" s="75">
        <v>1</v>
      </c>
    </row>
    <row r="116" spans="1:5" x14ac:dyDescent="0.25">
      <c r="A116" s="74">
        <v>45723</v>
      </c>
      <c r="B116" s="75" t="s">
        <v>21</v>
      </c>
      <c r="C116" s="75" t="s">
        <v>8</v>
      </c>
      <c r="D116" s="75" t="s">
        <v>42</v>
      </c>
      <c r="E116" s="75">
        <v>1</v>
      </c>
    </row>
    <row r="117" spans="1:5" x14ac:dyDescent="0.25">
      <c r="A117" s="74">
        <v>45723</v>
      </c>
      <c r="B117" s="75" t="s">
        <v>22</v>
      </c>
      <c r="C117" s="75" t="s">
        <v>8</v>
      </c>
      <c r="D117" s="75" t="s">
        <v>42</v>
      </c>
      <c r="E117" s="75">
        <v>1</v>
      </c>
    </row>
    <row r="118" spans="1:5" x14ac:dyDescent="0.25">
      <c r="A118" s="74">
        <v>45723</v>
      </c>
      <c r="B118" s="75" t="s">
        <v>23</v>
      </c>
      <c r="C118" s="75" t="s">
        <v>8</v>
      </c>
      <c r="D118" s="75" t="s">
        <v>42</v>
      </c>
      <c r="E118" s="75">
        <v>1</v>
      </c>
    </row>
    <row r="119" spans="1:5" x14ac:dyDescent="0.25">
      <c r="A119" s="74">
        <v>45723</v>
      </c>
      <c r="B119" s="75" t="s">
        <v>24</v>
      </c>
      <c r="C119" s="75" t="s">
        <v>8</v>
      </c>
      <c r="D119" s="75" t="s">
        <v>42</v>
      </c>
      <c r="E119" s="75">
        <v>1</v>
      </c>
    </row>
    <row r="120" spans="1:5" x14ac:dyDescent="0.25">
      <c r="A120" s="74">
        <v>45723</v>
      </c>
      <c r="B120" s="75" t="s">
        <v>25</v>
      </c>
      <c r="C120" s="75" t="s">
        <v>8</v>
      </c>
      <c r="D120" s="75" t="s">
        <v>42</v>
      </c>
      <c r="E120" s="75">
        <v>1</v>
      </c>
    </row>
    <row r="121" spans="1:5" x14ac:dyDescent="0.25">
      <c r="A121" s="74">
        <v>45723</v>
      </c>
      <c r="B121" s="75" t="s">
        <v>26</v>
      </c>
      <c r="C121" s="75" t="s">
        <v>8</v>
      </c>
      <c r="D121" s="75" t="s">
        <v>42</v>
      </c>
      <c r="E121" s="75">
        <v>1</v>
      </c>
    </row>
    <row r="122" spans="1:5" x14ac:dyDescent="0.25">
      <c r="A122" s="74">
        <v>45723</v>
      </c>
      <c r="B122" s="75" t="s">
        <v>27</v>
      </c>
      <c r="C122" s="75" t="s">
        <v>8</v>
      </c>
      <c r="D122" s="75" t="s">
        <v>42</v>
      </c>
      <c r="E122" s="75">
        <v>1</v>
      </c>
    </row>
    <row r="123" spans="1:5" x14ac:dyDescent="0.25">
      <c r="A123" s="74">
        <v>45723</v>
      </c>
      <c r="B123" s="75" t="s">
        <v>53</v>
      </c>
      <c r="C123" s="75" t="s">
        <v>8</v>
      </c>
      <c r="D123" s="75" t="s">
        <v>42</v>
      </c>
      <c r="E123" s="75">
        <v>1</v>
      </c>
    </row>
    <row r="124" spans="1:5" x14ac:dyDescent="0.25">
      <c r="A124" s="74">
        <v>46087</v>
      </c>
      <c r="B124" s="75" t="s">
        <v>2</v>
      </c>
      <c r="C124" s="75" t="s">
        <v>8</v>
      </c>
      <c r="D124" s="75" t="s">
        <v>42</v>
      </c>
      <c r="E124" s="75">
        <v>1</v>
      </c>
    </row>
    <row r="125" spans="1:5" x14ac:dyDescent="0.25">
      <c r="A125" s="74">
        <v>46087</v>
      </c>
      <c r="B125" s="75" t="s">
        <v>3</v>
      </c>
      <c r="C125" s="75" t="s">
        <v>8</v>
      </c>
      <c r="D125" s="75" t="s">
        <v>42</v>
      </c>
      <c r="E125" s="75">
        <v>1</v>
      </c>
    </row>
    <row r="126" spans="1:5" x14ac:dyDescent="0.25">
      <c r="A126" s="74">
        <v>46087</v>
      </c>
      <c r="B126" s="75" t="s">
        <v>11</v>
      </c>
      <c r="C126" s="75" t="s">
        <v>44</v>
      </c>
      <c r="D126" s="75" t="s">
        <v>47</v>
      </c>
      <c r="E126" s="75">
        <v>2</v>
      </c>
    </row>
    <row r="127" spans="1:5" x14ac:dyDescent="0.25">
      <c r="A127" s="74">
        <v>46087</v>
      </c>
      <c r="B127" s="75" t="s">
        <v>12</v>
      </c>
      <c r="C127" s="75" t="s">
        <v>44</v>
      </c>
      <c r="D127" s="75" t="s">
        <v>47</v>
      </c>
      <c r="E127" s="75">
        <v>3</v>
      </c>
    </row>
    <row r="128" spans="1:5" x14ac:dyDescent="0.25">
      <c r="A128" s="74">
        <v>46087</v>
      </c>
      <c r="B128" s="75" t="s">
        <v>13</v>
      </c>
      <c r="C128" s="75" t="s">
        <v>9</v>
      </c>
      <c r="D128" s="75" t="s">
        <v>46</v>
      </c>
      <c r="E128" s="75">
        <v>2</v>
      </c>
    </row>
    <row r="129" spans="1:5" x14ac:dyDescent="0.25">
      <c r="A129" s="74">
        <v>46087</v>
      </c>
      <c r="B129" s="75" t="s">
        <v>14</v>
      </c>
      <c r="C129" s="75" t="s">
        <v>10</v>
      </c>
      <c r="D129" s="75" t="s">
        <v>43</v>
      </c>
      <c r="E129" s="75">
        <v>5</v>
      </c>
    </row>
    <row r="130" spans="1:5" x14ac:dyDescent="0.25">
      <c r="A130" s="74">
        <v>46087</v>
      </c>
      <c r="B130" s="75" t="s">
        <v>15</v>
      </c>
      <c r="C130" s="75" t="s">
        <v>10</v>
      </c>
      <c r="D130" s="75" t="s">
        <v>43</v>
      </c>
      <c r="E130" s="75">
        <v>5</v>
      </c>
    </row>
    <row r="131" spans="1:5" x14ac:dyDescent="0.25">
      <c r="A131" s="74">
        <v>46087</v>
      </c>
      <c r="B131" s="75" t="s">
        <v>16</v>
      </c>
      <c r="C131" s="75" t="s">
        <v>9</v>
      </c>
      <c r="D131" s="75" t="s">
        <v>46</v>
      </c>
      <c r="E131" s="75">
        <v>2</v>
      </c>
    </row>
    <row r="132" spans="1:5" x14ac:dyDescent="0.25">
      <c r="A132" s="74">
        <v>46087</v>
      </c>
      <c r="B132" s="75" t="s">
        <v>17</v>
      </c>
      <c r="C132" s="75" t="s">
        <v>44</v>
      </c>
      <c r="D132" s="75" t="s">
        <v>45</v>
      </c>
      <c r="E132" s="75">
        <v>1</v>
      </c>
    </row>
    <row r="133" spans="1:5" x14ac:dyDescent="0.25">
      <c r="A133" s="74">
        <v>46087</v>
      </c>
      <c r="B133" s="75" t="s">
        <v>18</v>
      </c>
      <c r="C133" s="75" t="s">
        <v>44</v>
      </c>
      <c r="D133" s="75" t="s">
        <v>45</v>
      </c>
      <c r="E133" s="75">
        <v>1</v>
      </c>
    </row>
    <row r="134" spans="1:5" x14ac:dyDescent="0.25">
      <c r="A134" s="74">
        <v>46087</v>
      </c>
      <c r="B134" s="75" t="s">
        <v>19</v>
      </c>
      <c r="C134" s="75" t="s">
        <v>44</v>
      </c>
      <c r="D134" s="75" t="s">
        <v>45</v>
      </c>
      <c r="E134" s="75">
        <v>1</v>
      </c>
    </row>
    <row r="135" spans="1:5" x14ac:dyDescent="0.25">
      <c r="A135" s="74">
        <v>46087</v>
      </c>
      <c r="B135" s="75" t="s">
        <v>20</v>
      </c>
      <c r="C135" s="75" t="s">
        <v>44</v>
      </c>
      <c r="D135" s="75" t="s">
        <v>45</v>
      </c>
      <c r="E135" s="75">
        <v>1</v>
      </c>
    </row>
    <row r="136" spans="1:5" x14ac:dyDescent="0.25">
      <c r="A136" s="74">
        <v>46087</v>
      </c>
      <c r="B136" s="75" t="s">
        <v>21</v>
      </c>
      <c r="C136" s="75" t="s">
        <v>8</v>
      </c>
      <c r="D136" s="75" t="s">
        <v>42</v>
      </c>
      <c r="E136" s="75">
        <v>1</v>
      </c>
    </row>
    <row r="137" spans="1:5" x14ac:dyDescent="0.25">
      <c r="A137" s="74">
        <v>46087</v>
      </c>
      <c r="B137" s="75" t="s">
        <v>22</v>
      </c>
      <c r="C137" s="75" t="s">
        <v>8</v>
      </c>
      <c r="D137" s="75" t="s">
        <v>42</v>
      </c>
      <c r="E137" s="75">
        <v>1</v>
      </c>
    </row>
    <row r="138" spans="1:5" x14ac:dyDescent="0.25">
      <c r="A138" s="74">
        <v>46087</v>
      </c>
      <c r="B138" s="75" t="s">
        <v>23</v>
      </c>
      <c r="C138" s="75" t="s">
        <v>8</v>
      </c>
      <c r="D138" s="75" t="s">
        <v>42</v>
      </c>
      <c r="E138" s="75">
        <v>1</v>
      </c>
    </row>
    <row r="139" spans="1:5" x14ac:dyDescent="0.25">
      <c r="A139" s="74">
        <v>46087</v>
      </c>
      <c r="B139" s="75" t="s">
        <v>24</v>
      </c>
      <c r="C139" s="75" t="s">
        <v>8</v>
      </c>
      <c r="D139" s="75" t="s">
        <v>42</v>
      </c>
      <c r="E139" s="75">
        <v>1</v>
      </c>
    </row>
    <row r="140" spans="1:5" x14ac:dyDescent="0.25">
      <c r="A140" s="74">
        <v>46087</v>
      </c>
      <c r="B140" s="75" t="s">
        <v>25</v>
      </c>
      <c r="C140" s="75" t="s">
        <v>8</v>
      </c>
      <c r="D140" s="75" t="s">
        <v>42</v>
      </c>
      <c r="E140" s="75">
        <v>1</v>
      </c>
    </row>
    <row r="141" spans="1:5" x14ac:dyDescent="0.25">
      <c r="A141" s="74">
        <v>46087</v>
      </c>
      <c r="B141" s="75" t="s">
        <v>26</v>
      </c>
      <c r="C141" s="75" t="s">
        <v>8</v>
      </c>
      <c r="D141" s="75" t="s">
        <v>42</v>
      </c>
      <c r="E141" s="75">
        <v>1</v>
      </c>
    </row>
    <row r="142" spans="1:5" x14ac:dyDescent="0.25">
      <c r="A142" s="74">
        <v>46087</v>
      </c>
      <c r="B142" s="75" t="s">
        <v>27</v>
      </c>
      <c r="C142" s="75" t="s">
        <v>8</v>
      </c>
      <c r="D142" s="75" t="s">
        <v>42</v>
      </c>
      <c r="E142" s="75">
        <v>1</v>
      </c>
    </row>
    <row r="143" spans="1:5" x14ac:dyDescent="0.25">
      <c r="A143" s="74">
        <v>46087</v>
      </c>
      <c r="B143" s="75" t="s">
        <v>53</v>
      </c>
      <c r="C143" s="75" t="s">
        <v>8</v>
      </c>
      <c r="D143" s="75" t="s">
        <v>42</v>
      </c>
      <c r="E143" s="75">
        <v>1</v>
      </c>
    </row>
  </sheetData>
  <autoFilter ref="A3:E143" xr:uid="{FDE53500-CE23-4520-AE08-CBDF04E073F6}"/>
  <mergeCells count="1">
    <mergeCell ref="A1:E2"/>
  </mergeCells>
  <phoneticPr fontId="4" type="noConversion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enu">
                <anchor moveWithCells="1" sizeWithCells="1">
                  <from>
                    <xdr:col>7</xdr:col>
                    <xdr:colOff>66675</xdr:colOff>
                    <xdr:row>2</xdr:row>
                    <xdr:rowOff>142875</xdr:rowOff>
                  </from>
                  <to>
                    <xdr:col>8</xdr:col>
                    <xdr:colOff>428625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358A1-D95D-4EA8-A6C4-8ED68810A482}">
  <sheetPr codeName="Hoja6"/>
  <dimension ref="A1:V25"/>
  <sheetViews>
    <sheetView showGridLines="0" zoomScale="85" zoomScaleNormal="85" workbookViewId="0">
      <selection activeCell="B14" sqref="B14"/>
    </sheetView>
  </sheetViews>
  <sheetFormatPr baseColWidth="10" defaultRowHeight="15" x14ac:dyDescent="0.25"/>
  <cols>
    <col min="1" max="1" width="23" style="3" bestFit="1" customWidth="1"/>
    <col min="2" max="2" width="12.140625" style="3" bestFit="1" customWidth="1"/>
    <col min="3" max="3" width="6.42578125" style="3" bestFit="1" customWidth="1"/>
    <col min="4" max="4" width="5.7109375" style="3" bestFit="1" customWidth="1"/>
    <col min="5" max="5" width="9.140625" style="3" bestFit="1" customWidth="1"/>
    <col min="6" max="6" width="8.85546875" style="3" bestFit="1" customWidth="1"/>
    <col min="7" max="7" width="9.7109375" style="3" bestFit="1" customWidth="1"/>
    <col min="8" max="8" width="11" style="3" bestFit="1" customWidth="1"/>
    <col min="9" max="9" width="11.85546875" style="3" bestFit="1" customWidth="1"/>
    <col min="10" max="11" width="7.85546875" style="3" bestFit="1" customWidth="1"/>
    <col min="12" max="12" width="5.7109375" style="3" bestFit="1" customWidth="1"/>
    <col min="13" max="13" width="11.28515625" style="3" bestFit="1" customWidth="1"/>
    <col min="14" max="14" width="8" style="3" bestFit="1" customWidth="1"/>
    <col min="15" max="15" width="13.42578125" style="3" bestFit="1" customWidth="1"/>
    <col min="16" max="16" width="10.140625" style="3" bestFit="1" customWidth="1"/>
    <col min="17" max="17" width="11.28515625" style="3" bestFit="1" customWidth="1"/>
    <col min="18" max="18" width="11.42578125" style="3" bestFit="1" customWidth="1"/>
    <col min="19" max="19" width="7.42578125" style="3" bestFit="1" customWidth="1"/>
    <col min="20" max="20" width="15.28515625" style="3" bestFit="1" customWidth="1"/>
    <col min="21" max="21" width="9.28515625" style="3" bestFit="1" customWidth="1"/>
    <col min="22" max="22" width="14.140625" style="3" bestFit="1" customWidth="1"/>
    <col min="23" max="23" width="12.7109375" style="3" bestFit="1" customWidth="1"/>
    <col min="24" max="24" width="5" style="3" bestFit="1" customWidth="1"/>
    <col min="25" max="25" width="4.42578125" style="3" bestFit="1" customWidth="1"/>
    <col min="26" max="26" width="7.140625" style="3" bestFit="1" customWidth="1"/>
    <col min="27" max="27" width="6.85546875" style="3" bestFit="1" customWidth="1"/>
    <col min="28" max="28" width="7.42578125" style="3" bestFit="1" customWidth="1"/>
    <col min="29" max="29" width="8.5703125" style="3" bestFit="1" customWidth="1"/>
    <col min="30" max="30" width="9.140625" style="3" bestFit="1" customWidth="1"/>
    <col min="31" max="32" width="6.140625" style="3" bestFit="1" customWidth="1"/>
    <col min="33" max="33" width="4.42578125" style="3" bestFit="1" customWidth="1"/>
    <col min="34" max="34" width="8.85546875" style="3" bestFit="1" customWidth="1"/>
    <col min="35" max="35" width="6.140625" style="3" bestFit="1" customWidth="1"/>
    <col min="36" max="36" width="10.42578125" style="3" bestFit="1" customWidth="1"/>
    <col min="37" max="37" width="7.85546875" style="3" bestFit="1" customWidth="1"/>
    <col min="38" max="38" width="8.7109375" style="3" bestFit="1" customWidth="1"/>
    <col min="39" max="39" width="8.85546875" style="3" bestFit="1" customWidth="1"/>
    <col min="40" max="40" width="5.85546875" style="3" bestFit="1" customWidth="1"/>
    <col min="41" max="41" width="12" style="3" bestFit="1" customWidth="1"/>
    <col min="42" max="42" width="7.28515625" style="3" bestFit="1" customWidth="1"/>
    <col min="43" max="43" width="11" style="3" bestFit="1" customWidth="1"/>
    <col min="44" max="44" width="26.85546875" style="3" bestFit="1" customWidth="1"/>
    <col min="45" max="45" width="17.7109375" style="3" bestFit="1" customWidth="1"/>
    <col min="46" max="16384" width="11.42578125" style="3"/>
  </cols>
  <sheetData>
    <row r="1" spans="1:22" ht="18.75" x14ac:dyDescent="0.3">
      <c r="A1" s="83" t="s">
        <v>4</v>
      </c>
      <c r="B1" s="83" t="s">
        <v>80</v>
      </c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</row>
    <row r="2" spans="1:22" ht="18.75" x14ac:dyDescent="0.3">
      <c r="A2" s="82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</row>
    <row r="3" spans="1:22" ht="18.75" x14ac:dyDescent="0.3">
      <c r="A3" s="83" t="s">
        <v>79</v>
      </c>
      <c r="B3" s="86" t="s">
        <v>123</v>
      </c>
      <c r="C3" s="83"/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/>
    </row>
    <row r="4" spans="1:22" ht="18.75" x14ac:dyDescent="0.3">
      <c r="A4" s="83" t="s">
        <v>81</v>
      </c>
      <c r="B4" s="83" t="s">
        <v>16</v>
      </c>
      <c r="C4" s="83" t="s">
        <v>19</v>
      </c>
      <c r="D4" s="83" t="s">
        <v>2</v>
      </c>
      <c r="E4" s="83" t="s">
        <v>21</v>
      </c>
      <c r="F4" s="83" t="s">
        <v>17</v>
      </c>
      <c r="G4" s="83" t="s">
        <v>20</v>
      </c>
      <c r="H4" s="83" t="s">
        <v>24</v>
      </c>
      <c r="I4" s="83" t="s">
        <v>12</v>
      </c>
      <c r="J4" s="83" t="s">
        <v>14</v>
      </c>
      <c r="K4" s="83" t="s">
        <v>13</v>
      </c>
      <c r="L4" s="83" t="s">
        <v>3</v>
      </c>
      <c r="M4" s="83" t="s">
        <v>53</v>
      </c>
      <c r="N4" s="83" t="s">
        <v>11</v>
      </c>
      <c r="O4" s="83" t="s">
        <v>27</v>
      </c>
      <c r="P4" s="83" t="s">
        <v>15</v>
      </c>
      <c r="Q4" s="83" t="s">
        <v>18</v>
      </c>
      <c r="R4" s="83" t="s">
        <v>25</v>
      </c>
      <c r="S4" s="83" t="s">
        <v>23</v>
      </c>
      <c r="T4" s="83" t="s">
        <v>22</v>
      </c>
      <c r="U4" s="83" t="s">
        <v>26</v>
      </c>
      <c r="V4"/>
    </row>
    <row r="5" spans="1:22" ht="18.75" x14ac:dyDescent="0.3">
      <c r="A5" s="84" t="s">
        <v>42</v>
      </c>
      <c r="B5" s="85"/>
      <c r="C5" s="85"/>
      <c r="D5" s="85">
        <v>5</v>
      </c>
      <c r="E5" s="85">
        <v>5</v>
      </c>
      <c r="F5" s="85"/>
      <c r="G5" s="85"/>
      <c r="H5" s="85">
        <v>5</v>
      </c>
      <c r="I5" s="85"/>
      <c r="J5" s="85"/>
      <c r="K5" s="85"/>
      <c r="L5" s="85">
        <v>5</v>
      </c>
      <c r="M5" s="85">
        <v>5</v>
      </c>
      <c r="N5" s="85"/>
      <c r="O5" s="85">
        <v>5</v>
      </c>
      <c r="P5" s="85"/>
      <c r="Q5" s="85"/>
      <c r="R5" s="85">
        <v>5</v>
      </c>
      <c r="S5" s="85">
        <v>5</v>
      </c>
      <c r="T5" s="85">
        <v>5</v>
      </c>
      <c r="U5" s="85">
        <v>5</v>
      </c>
      <c r="V5"/>
    </row>
    <row r="6" spans="1:22" ht="18.75" x14ac:dyDescent="0.3">
      <c r="A6" s="84" t="s">
        <v>43</v>
      </c>
      <c r="B6" s="85"/>
      <c r="C6" s="85"/>
      <c r="D6" s="85"/>
      <c r="E6" s="85"/>
      <c r="F6" s="85"/>
      <c r="G6" s="85"/>
      <c r="H6" s="85"/>
      <c r="I6" s="85"/>
      <c r="J6" s="85">
        <v>25</v>
      </c>
      <c r="K6" s="85"/>
      <c r="L6" s="85"/>
      <c r="M6" s="85"/>
      <c r="N6" s="85"/>
      <c r="O6" s="85"/>
      <c r="P6" s="85">
        <v>25</v>
      </c>
      <c r="Q6" s="85"/>
      <c r="R6" s="85"/>
      <c r="S6" s="85"/>
      <c r="T6" s="85"/>
      <c r="U6" s="85"/>
      <c r="V6"/>
    </row>
    <row r="7" spans="1:22" ht="18.75" x14ac:dyDescent="0.3">
      <c r="A7" s="84" t="s">
        <v>45</v>
      </c>
      <c r="B7" s="85"/>
      <c r="C7" s="85">
        <v>5</v>
      </c>
      <c r="D7" s="85"/>
      <c r="E7" s="85"/>
      <c r="F7" s="85">
        <v>5</v>
      </c>
      <c r="G7" s="85">
        <v>5</v>
      </c>
      <c r="H7" s="85"/>
      <c r="I7" s="85"/>
      <c r="J7" s="85"/>
      <c r="K7" s="85"/>
      <c r="L7" s="85"/>
      <c r="M7" s="85"/>
      <c r="N7" s="85"/>
      <c r="O7" s="85"/>
      <c r="P7" s="85"/>
      <c r="Q7" s="85">
        <v>5</v>
      </c>
      <c r="R7" s="85"/>
      <c r="S7" s="85"/>
      <c r="T7" s="85"/>
      <c r="U7" s="85"/>
      <c r="V7"/>
    </row>
    <row r="8" spans="1:22" ht="18.75" x14ac:dyDescent="0.3">
      <c r="A8" s="84" t="s">
        <v>47</v>
      </c>
      <c r="B8" s="85"/>
      <c r="C8" s="85"/>
      <c r="D8" s="85"/>
      <c r="E8" s="85"/>
      <c r="F8" s="85"/>
      <c r="G8" s="85"/>
      <c r="H8" s="85"/>
      <c r="I8" s="85">
        <v>15</v>
      </c>
      <c r="J8" s="85"/>
      <c r="K8" s="85"/>
      <c r="L8" s="85"/>
      <c r="M8" s="85"/>
      <c r="N8" s="85">
        <v>10</v>
      </c>
      <c r="O8" s="85"/>
      <c r="P8" s="85"/>
      <c r="Q8" s="85"/>
      <c r="R8" s="85"/>
      <c r="S8" s="85"/>
      <c r="T8" s="85"/>
      <c r="U8" s="85"/>
      <c r="V8"/>
    </row>
    <row r="9" spans="1:22" ht="18.75" x14ac:dyDescent="0.3">
      <c r="A9" s="84" t="s">
        <v>46</v>
      </c>
      <c r="B9" s="85">
        <v>10</v>
      </c>
      <c r="C9" s="85"/>
      <c r="D9" s="85"/>
      <c r="E9" s="85"/>
      <c r="F9" s="85"/>
      <c r="G9" s="85"/>
      <c r="H9" s="85"/>
      <c r="I9" s="85"/>
      <c r="J9" s="85"/>
      <c r="K9" s="85">
        <v>10</v>
      </c>
      <c r="L9" s="85"/>
      <c r="M9" s="85"/>
      <c r="N9" s="85"/>
      <c r="O9" s="85"/>
      <c r="P9" s="85"/>
      <c r="Q9" s="85"/>
      <c r="R9" s="85"/>
      <c r="S9" s="85"/>
      <c r="T9" s="85"/>
      <c r="U9" s="85"/>
      <c r="V9"/>
    </row>
    <row r="10" spans="1:22" ht="18.75" x14ac:dyDescent="0.3">
      <c r="A10" s="84" t="s">
        <v>82</v>
      </c>
      <c r="B10" s="85">
        <v>10</v>
      </c>
      <c r="C10" s="85">
        <v>5</v>
      </c>
      <c r="D10" s="85">
        <v>5</v>
      </c>
      <c r="E10" s="85">
        <v>5</v>
      </c>
      <c r="F10" s="85">
        <v>5</v>
      </c>
      <c r="G10" s="85">
        <v>5</v>
      </c>
      <c r="H10" s="85">
        <v>5</v>
      </c>
      <c r="I10" s="85">
        <v>15</v>
      </c>
      <c r="J10" s="85">
        <v>25</v>
      </c>
      <c r="K10" s="85">
        <v>10</v>
      </c>
      <c r="L10" s="85">
        <v>5</v>
      </c>
      <c r="M10" s="85">
        <v>5</v>
      </c>
      <c r="N10" s="85">
        <v>10</v>
      </c>
      <c r="O10" s="85">
        <v>5</v>
      </c>
      <c r="P10" s="85">
        <v>25</v>
      </c>
      <c r="Q10" s="85">
        <v>5</v>
      </c>
      <c r="R10" s="85">
        <v>5</v>
      </c>
      <c r="S10" s="85">
        <v>5</v>
      </c>
      <c r="T10" s="85">
        <v>5</v>
      </c>
      <c r="U10" s="85">
        <v>5</v>
      </c>
      <c r="V10"/>
    </row>
    <row r="11" spans="1:22" ht="18.75" x14ac:dyDescent="0.3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1:22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1:22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1:22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1:22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</row>
    <row r="21" spans="1:22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</row>
    <row r="22" spans="1:22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</row>
    <row r="23" spans="1:22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</row>
    <row r="24" spans="1:22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</row>
    <row r="25" spans="1:22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</row>
  </sheetData>
  <pageMargins left="0.7" right="0.7" top="0.75" bottom="0.75" header="0.3" footer="0.3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Menu">
                <anchor moveWithCells="1" sizeWithCells="1">
                  <from>
                    <xdr:col>9</xdr:col>
                    <xdr:colOff>285750</xdr:colOff>
                    <xdr:row>13</xdr:row>
                    <xdr:rowOff>19050</xdr:rowOff>
                  </from>
                  <to>
                    <xdr:col>12</xdr:col>
                    <xdr:colOff>295275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CE965-DFF4-407E-B303-1AD0BE857532}">
  <sheetPr codeName="Hoja10"/>
  <dimension ref="C1:N16"/>
  <sheetViews>
    <sheetView showGridLines="0" workbookViewId="0">
      <selection activeCell="F5" sqref="F5"/>
    </sheetView>
  </sheetViews>
  <sheetFormatPr baseColWidth="10" defaultRowHeight="15" x14ac:dyDescent="0.25"/>
  <cols>
    <col min="1" max="3" width="4.85546875" customWidth="1"/>
    <col min="4" max="4" width="5.85546875" customWidth="1"/>
    <col min="5" max="5" width="54.28515625" customWidth="1"/>
    <col min="6" max="6" width="19.7109375" bestFit="1" customWidth="1"/>
    <col min="7" max="7" width="12.42578125" customWidth="1"/>
    <col min="8" max="8" width="9.140625" customWidth="1"/>
  </cols>
  <sheetData>
    <row r="1" spans="3:14" s="14" customFormat="1" x14ac:dyDescent="0.25">
      <c r="F1"/>
    </row>
    <row r="2" spans="3:14" s="14" customFormat="1" ht="28.5" x14ac:dyDescent="0.45">
      <c r="E2" s="52" t="s">
        <v>29</v>
      </c>
      <c r="F2" s="56"/>
      <c r="G2" s="53"/>
      <c r="H2" s="53"/>
      <c r="I2" s="53"/>
    </row>
    <row r="3" spans="3:14" s="14" customFormat="1" ht="28.5" x14ac:dyDescent="0.45">
      <c r="E3" s="52" t="s">
        <v>0</v>
      </c>
      <c r="F3" s="54" t="e">
        <f>VLOOKUP($F$2,Parametros!A:E,2,0)</f>
        <v>#N/A</v>
      </c>
      <c r="G3" s="53"/>
      <c r="H3" s="53"/>
      <c r="I3" s="53"/>
    </row>
    <row r="4" spans="3:14" s="14" customFormat="1" ht="28.5" x14ac:dyDescent="0.45">
      <c r="E4" s="52" t="s">
        <v>63</v>
      </c>
      <c r="F4" s="57"/>
      <c r="G4" s="53"/>
      <c r="H4" s="53"/>
      <c r="I4" s="53"/>
    </row>
    <row r="5" spans="3:14" s="14" customFormat="1" ht="28.5" x14ac:dyDescent="0.45">
      <c r="E5" s="52" t="s">
        <v>64</v>
      </c>
      <c r="F5" s="57"/>
      <c r="G5" s="53"/>
      <c r="H5" s="53"/>
      <c r="I5" s="53"/>
    </row>
    <row r="6" spans="3:14" s="14" customFormat="1" ht="28.5" x14ac:dyDescent="0.45">
      <c r="E6" s="52" t="s">
        <v>65</v>
      </c>
      <c r="F6" s="54">
        <f>F5-F4</f>
        <v>0</v>
      </c>
      <c r="G6" s="53"/>
      <c r="H6" s="53"/>
      <c r="I6" s="53"/>
    </row>
    <row r="7" spans="3:14" ht="28.5" x14ac:dyDescent="0.45">
      <c r="E7" s="52" t="s">
        <v>67</v>
      </c>
      <c r="F7" s="56" t="s">
        <v>124</v>
      </c>
      <c r="G7" s="53"/>
      <c r="H7" s="53"/>
      <c r="I7" s="53"/>
    </row>
    <row r="8" spans="3:14" ht="28.5" x14ac:dyDescent="0.45">
      <c r="C8" s="14"/>
      <c r="D8" s="14"/>
      <c r="E8" s="52" t="s">
        <v>66</v>
      </c>
      <c r="F8" s="54" t="str">
        <f>IF(F6&gt;0,"Pendiente","Rechazado")</f>
        <v>Rechazado</v>
      </c>
      <c r="G8" s="53"/>
      <c r="H8" s="53"/>
      <c r="I8" s="53"/>
    </row>
    <row r="9" spans="3:14" ht="28.5" x14ac:dyDescent="0.45">
      <c r="E9" s="52" t="s">
        <v>72</v>
      </c>
      <c r="F9" s="55" t="e">
        <f>VLOOKUP(Solicitud_Vacaciones!F2,Calculo!A:I,9,0)</f>
        <v>#N/A</v>
      </c>
      <c r="G9" s="53"/>
      <c r="H9" s="53"/>
      <c r="I9" s="53"/>
    </row>
    <row r="10" spans="3:14" ht="28.5" x14ac:dyDescent="0.45">
      <c r="E10" s="5" t="s">
        <v>74</v>
      </c>
      <c r="F10" s="55" t="e">
        <f>F9-F6</f>
        <v>#N/A</v>
      </c>
      <c r="G10" s="53"/>
      <c r="H10" s="53"/>
      <c r="I10" s="53"/>
    </row>
    <row r="11" spans="3:14" x14ac:dyDescent="0.25">
      <c r="F11" s="14"/>
    </row>
    <row r="16" spans="3:14" x14ac:dyDescent="0.25">
      <c r="M16" s="44" t="s">
        <v>73</v>
      </c>
      <c r="N16" s="45" t="e">
        <f>IF(F6&lt;=F10,"OK","NO DISPONIBLE")</f>
        <v>#N/A</v>
      </c>
    </row>
  </sheetData>
  <sheetProtection algorithmName="SHA-512" hashValue="9Y7SUQlS14ETtzgVKBqJwPHcuYDnMgzaMQVSefK1bRnsY+gD1CNCfIpARi6QkFafd1/GVZ+u1qHQqttY0AW5xQ==" saltValue="0nQtQx0utnBaie+i34a4XQ==" spinCount="100000" sheet="1" objects="1" scenarios="1" selectLockedCells="1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Menu">
                <anchor moveWithCells="1" sizeWithCells="1">
                  <from>
                    <xdr:col>9</xdr:col>
                    <xdr:colOff>571500</xdr:colOff>
                    <xdr:row>1</xdr:row>
                    <xdr:rowOff>333375</xdr:rowOff>
                  </from>
                  <to>
                    <xdr:col>11</xdr:col>
                    <xdr:colOff>171450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A8775-027A-4BCA-AC67-0E16D6CF850B}">
  <sheetPr codeName="Hoja9"/>
  <dimension ref="A1:L26"/>
  <sheetViews>
    <sheetView showGridLines="0" topLeftCell="D1" workbookViewId="0">
      <selection activeCell="I2" sqref="I2"/>
    </sheetView>
  </sheetViews>
  <sheetFormatPr baseColWidth="10" defaultRowHeight="15" x14ac:dyDescent="0.25"/>
  <cols>
    <col min="1" max="1" width="10.140625" style="2" bestFit="1" customWidth="1"/>
    <col min="2" max="2" width="12.42578125" style="2" bestFit="1" customWidth="1"/>
    <col min="3" max="4" width="19.85546875" style="2" bestFit="1" customWidth="1"/>
    <col min="5" max="5" width="11.140625" style="2" customWidth="1"/>
    <col min="6" max="6" width="29.28515625" style="2" customWidth="1"/>
    <col min="7" max="7" width="11.85546875" style="73" customWidth="1"/>
    <col min="8" max="8" width="16" style="2" customWidth="1"/>
    <col min="9" max="9" width="14.85546875" style="2" bestFit="1" customWidth="1"/>
    <col min="10" max="10" width="14.7109375" style="7" bestFit="1" customWidth="1"/>
    <col min="11" max="11" width="14.7109375" style="7" customWidth="1"/>
    <col min="12" max="16384" width="11.42578125" style="7"/>
  </cols>
  <sheetData>
    <row r="1" spans="1:11" s="4" customFormat="1" ht="34.5" customHeight="1" x14ac:dyDescent="0.25">
      <c r="A1" s="61" t="s">
        <v>29</v>
      </c>
      <c r="B1" s="61" t="s">
        <v>0</v>
      </c>
      <c r="C1" s="61" t="s">
        <v>63</v>
      </c>
      <c r="D1" s="61" t="s">
        <v>64</v>
      </c>
      <c r="E1" s="61" t="s">
        <v>65</v>
      </c>
      <c r="F1" s="61" t="s">
        <v>67</v>
      </c>
      <c r="G1" s="72" t="s">
        <v>66</v>
      </c>
      <c r="H1" s="61" t="s">
        <v>72</v>
      </c>
      <c r="I1" s="61" t="s">
        <v>74</v>
      </c>
      <c r="J1" s="61" t="s">
        <v>73</v>
      </c>
      <c r="K1" s="69"/>
    </row>
    <row r="2" spans="1:11" s="4" customFormat="1" ht="19.5" customHeight="1" x14ac:dyDescent="0.25">
      <c r="A2" s="58">
        <v>1020</v>
      </c>
      <c r="B2" s="59" t="s">
        <v>53</v>
      </c>
      <c r="C2" s="60">
        <v>46077</v>
      </c>
      <c r="D2" s="60">
        <v>46090</v>
      </c>
      <c r="E2" s="59">
        <v>11</v>
      </c>
      <c r="F2" s="58" t="s">
        <v>124</v>
      </c>
      <c r="G2" s="71" t="s">
        <v>69</v>
      </c>
      <c r="H2" s="67">
        <f ca="1">VLOOKUP(A2,Calculo!A:I,9,0)</f>
        <v>12</v>
      </c>
      <c r="I2" s="68">
        <f ca="1">H2-E2</f>
        <v>1</v>
      </c>
      <c r="J2" s="66" t="str">
        <f t="shared" ref="J2" ca="1" si="0">IF(E2&lt;=H2,"OK","NO DISPONIBLE")</f>
        <v>OK</v>
      </c>
      <c r="K2" s="69"/>
    </row>
    <row r="3" spans="1:11" s="4" customFormat="1" ht="19.5" customHeight="1" x14ac:dyDescent="0.25">
      <c r="A3" s="58">
        <v>1001</v>
      </c>
      <c r="B3" s="59" t="s">
        <v>2</v>
      </c>
      <c r="C3" s="60">
        <v>46084</v>
      </c>
      <c r="D3" s="60">
        <v>46091</v>
      </c>
      <c r="E3" s="59">
        <f>D3-C3</f>
        <v>7</v>
      </c>
      <c r="F3" s="58" t="s">
        <v>124</v>
      </c>
      <c r="G3" s="71" t="s">
        <v>69</v>
      </c>
      <c r="H3" s="67">
        <f ca="1">VLOOKUP(A3,Calculo!A:I,9,0)</f>
        <v>12</v>
      </c>
      <c r="I3" s="68">
        <f ca="1">H3-E3</f>
        <v>5</v>
      </c>
      <c r="J3" s="66" t="str">
        <f t="shared" ref="J3" ca="1" si="1">IF(E3&lt;=H3,"OK","NO DISPONIBLE")</f>
        <v>OK</v>
      </c>
      <c r="K3" s="69"/>
    </row>
    <row r="4" spans="1:11" s="4" customFormat="1" ht="19.5" customHeight="1" x14ac:dyDescent="0.25">
      <c r="A4" s="58">
        <v>1001</v>
      </c>
      <c r="B4" s="59" t="s">
        <v>2</v>
      </c>
      <c r="C4" s="60">
        <v>46091.146643518521</v>
      </c>
      <c r="D4" s="60">
        <v>46100</v>
      </c>
      <c r="E4" s="90">
        <f>D4-C4</f>
        <v>8.8533564814788406</v>
      </c>
      <c r="F4" s="58" t="s">
        <v>124</v>
      </c>
      <c r="G4" s="71" t="s">
        <v>69</v>
      </c>
      <c r="H4" s="67">
        <f ca="1">VLOOKUP(A4,Calculo!A:I,9,0)</f>
        <v>12</v>
      </c>
      <c r="I4" s="68">
        <f ca="1">H4-E4</f>
        <v>3.1466435185211594</v>
      </c>
      <c r="J4" s="66" t="str">
        <f t="shared" ref="J4:J18" ca="1" si="2">IF(E4&lt;=H4,"OK","NO DISPONIBLE")</f>
        <v>OK</v>
      </c>
      <c r="K4" s="69"/>
    </row>
    <row r="5" spans="1:11" s="4" customFormat="1" ht="18.75" x14ac:dyDescent="0.25">
      <c r="A5" s="43">
        <v>1001</v>
      </c>
      <c r="B5" s="59" t="s">
        <v>2</v>
      </c>
      <c r="C5" s="62">
        <v>46093</v>
      </c>
      <c r="D5" s="62">
        <v>46098</v>
      </c>
      <c r="E5" s="63">
        <f>D5-C5</f>
        <v>5</v>
      </c>
      <c r="F5" s="43"/>
      <c r="G5" s="71" t="s">
        <v>69</v>
      </c>
      <c r="H5" s="67">
        <f ca="1">VLOOKUP(A5,Calculo!A:I,9,0)</f>
        <v>12</v>
      </c>
      <c r="I5" s="68">
        <f ca="1">H5-E5</f>
        <v>7</v>
      </c>
      <c r="J5" s="66" t="str">
        <f t="shared" ca="1" si="2"/>
        <v>OK</v>
      </c>
      <c r="K5" s="70"/>
    </row>
    <row r="6" spans="1:11" s="4" customFormat="1" ht="18.75" x14ac:dyDescent="0.25">
      <c r="A6" s="46">
        <v>1002</v>
      </c>
      <c r="B6" s="59" t="s">
        <v>3</v>
      </c>
      <c r="C6" s="62">
        <v>46093</v>
      </c>
      <c r="D6" s="62">
        <v>46098</v>
      </c>
      <c r="E6" s="63">
        <v>10</v>
      </c>
      <c r="F6" s="46"/>
      <c r="G6" s="71" t="s">
        <v>70</v>
      </c>
      <c r="H6" s="67">
        <f ca="1">VLOOKUP(A6,Calculo!A:I,9,0)</f>
        <v>12</v>
      </c>
      <c r="I6" s="66">
        <f ca="1">VLOOKUP(B6,Calculo!B:I,8,FALSE)-E6</f>
        <v>2</v>
      </c>
      <c r="J6" s="66" t="str">
        <f t="shared" ca="1" si="2"/>
        <v>OK</v>
      </c>
      <c r="K6" s="70"/>
    </row>
    <row r="7" spans="1:11" ht="18.75" x14ac:dyDescent="0.25">
      <c r="A7" s="47">
        <v>1003</v>
      </c>
      <c r="B7" s="64" t="s">
        <v>11</v>
      </c>
      <c r="C7" s="65">
        <v>46087</v>
      </c>
      <c r="D7" s="65">
        <v>46091</v>
      </c>
      <c r="E7" s="63">
        <f t="shared" ref="E7:E18" si="3">D7-C7</f>
        <v>4</v>
      </c>
      <c r="F7" s="47"/>
      <c r="G7" s="71" t="s">
        <v>70</v>
      </c>
      <c r="H7" s="67">
        <f ca="1">VLOOKUP(A7,Calculo!A:I,9,0)</f>
        <v>12</v>
      </c>
      <c r="I7" s="66">
        <f ca="1">VLOOKUP(B7,Calculo!B:I,8,FALSE)-E7</f>
        <v>8</v>
      </c>
      <c r="J7" s="66" t="str">
        <f t="shared" ca="1" si="2"/>
        <v>OK</v>
      </c>
      <c r="K7" s="70"/>
    </row>
    <row r="8" spans="1:11" ht="18.75" x14ac:dyDescent="0.25">
      <c r="A8" s="47">
        <v>1004</v>
      </c>
      <c r="B8" s="64" t="s">
        <v>12</v>
      </c>
      <c r="C8" s="65">
        <v>46088</v>
      </c>
      <c r="D8" s="65">
        <v>46092</v>
      </c>
      <c r="E8" s="63">
        <f t="shared" si="3"/>
        <v>4</v>
      </c>
      <c r="F8" s="47"/>
      <c r="G8" s="71" t="s">
        <v>70</v>
      </c>
      <c r="H8" s="67">
        <f ca="1">VLOOKUP(A8,Calculo!A:I,9,0)</f>
        <v>12</v>
      </c>
      <c r="I8" s="66">
        <f ca="1">VLOOKUP(B8,Calculo!B:I,8,FALSE)-E8</f>
        <v>8</v>
      </c>
      <c r="J8" s="66" t="str">
        <f t="shared" ca="1" si="2"/>
        <v>OK</v>
      </c>
      <c r="K8" s="70"/>
    </row>
    <row r="9" spans="1:11" ht="18.75" x14ac:dyDescent="0.25">
      <c r="A9" s="47">
        <v>1005</v>
      </c>
      <c r="B9" s="64" t="s">
        <v>13</v>
      </c>
      <c r="C9" s="65">
        <v>46089</v>
      </c>
      <c r="D9" s="65">
        <v>46093</v>
      </c>
      <c r="E9" s="63">
        <f t="shared" si="3"/>
        <v>4</v>
      </c>
      <c r="F9" s="47"/>
      <c r="G9" s="71" t="s">
        <v>70</v>
      </c>
      <c r="H9" s="67">
        <f ca="1">VLOOKUP(A9,Calculo!A:I,9,0)</f>
        <v>12</v>
      </c>
      <c r="I9" s="66">
        <f ca="1">VLOOKUP(B9,Calculo!B:I,8,FALSE)-E9</f>
        <v>8</v>
      </c>
      <c r="J9" s="66" t="str">
        <f t="shared" ca="1" si="2"/>
        <v>OK</v>
      </c>
      <c r="K9" s="70"/>
    </row>
    <row r="10" spans="1:11" ht="18.75" x14ac:dyDescent="0.25">
      <c r="A10" s="47">
        <v>1006</v>
      </c>
      <c r="B10" s="64" t="s">
        <v>14</v>
      </c>
      <c r="C10" s="65">
        <v>46090</v>
      </c>
      <c r="D10" s="65">
        <v>46094</v>
      </c>
      <c r="E10" s="63">
        <f t="shared" si="3"/>
        <v>4</v>
      </c>
      <c r="F10" s="47"/>
      <c r="G10" s="71" t="s">
        <v>70</v>
      </c>
      <c r="H10" s="67">
        <f ca="1">VLOOKUP(A10,Calculo!A:I,9,0)</f>
        <v>12</v>
      </c>
      <c r="I10" s="66">
        <f ca="1">VLOOKUP(B10,Calculo!B:I,8,FALSE)-E10</f>
        <v>8</v>
      </c>
      <c r="J10" s="66" t="str">
        <f t="shared" ca="1" si="2"/>
        <v>OK</v>
      </c>
      <c r="K10" s="70"/>
    </row>
    <row r="11" spans="1:11" ht="18.75" x14ac:dyDescent="0.25">
      <c r="A11" s="47">
        <v>1007</v>
      </c>
      <c r="B11" s="64" t="s">
        <v>15</v>
      </c>
      <c r="C11" s="65">
        <v>46091</v>
      </c>
      <c r="D11" s="65">
        <v>46095</v>
      </c>
      <c r="E11" s="63">
        <f t="shared" si="3"/>
        <v>4</v>
      </c>
      <c r="F11" s="47"/>
      <c r="G11" s="71" t="s">
        <v>70</v>
      </c>
      <c r="H11" s="67">
        <f ca="1">VLOOKUP(A11,Calculo!A:I,9,0)</f>
        <v>12</v>
      </c>
      <c r="I11" s="66">
        <f ca="1">VLOOKUP(B11,Calculo!B:I,8,FALSE)-E11</f>
        <v>8</v>
      </c>
      <c r="J11" s="66" t="str">
        <f t="shared" ca="1" si="2"/>
        <v>OK</v>
      </c>
      <c r="K11" s="70"/>
    </row>
    <row r="12" spans="1:11" ht="18.75" x14ac:dyDescent="0.25">
      <c r="A12" s="47">
        <v>1008</v>
      </c>
      <c r="B12" s="64" t="s">
        <v>16</v>
      </c>
      <c r="C12" s="65">
        <v>46092</v>
      </c>
      <c r="D12" s="65">
        <v>46096</v>
      </c>
      <c r="E12" s="63">
        <f t="shared" si="3"/>
        <v>4</v>
      </c>
      <c r="F12" s="47"/>
      <c r="G12" s="71" t="s">
        <v>70</v>
      </c>
      <c r="H12" s="67">
        <f ca="1">VLOOKUP(A12,Calculo!A:I,9,0)</f>
        <v>12</v>
      </c>
      <c r="I12" s="66">
        <f ca="1">VLOOKUP(B12,Calculo!B:I,8,FALSE)-E12</f>
        <v>8</v>
      </c>
      <c r="J12" s="66" t="str">
        <f t="shared" ca="1" si="2"/>
        <v>OK</v>
      </c>
      <c r="K12" s="70"/>
    </row>
    <row r="13" spans="1:11" ht="18.75" x14ac:dyDescent="0.25">
      <c r="A13" s="47">
        <v>1009</v>
      </c>
      <c r="B13" s="64" t="s">
        <v>17</v>
      </c>
      <c r="C13" s="65">
        <v>46093</v>
      </c>
      <c r="D13" s="65">
        <v>46097</v>
      </c>
      <c r="E13" s="63">
        <f t="shared" si="3"/>
        <v>4</v>
      </c>
      <c r="F13" s="47"/>
      <c r="G13" s="71" t="s">
        <v>70</v>
      </c>
      <c r="H13" s="67">
        <f ca="1">VLOOKUP(A13,Calculo!A:I,9,0)</f>
        <v>12</v>
      </c>
      <c r="I13" s="66">
        <f ca="1">VLOOKUP(B13,Calculo!B:I,8,FALSE)-E13</f>
        <v>8</v>
      </c>
      <c r="J13" s="66" t="str">
        <f t="shared" ca="1" si="2"/>
        <v>OK</v>
      </c>
      <c r="K13" s="70"/>
    </row>
    <row r="14" spans="1:11" ht="18.75" x14ac:dyDescent="0.25">
      <c r="A14" s="47">
        <v>1010</v>
      </c>
      <c r="B14" s="64" t="s">
        <v>18</v>
      </c>
      <c r="C14" s="65">
        <v>46094</v>
      </c>
      <c r="D14" s="65">
        <v>46098</v>
      </c>
      <c r="E14" s="63">
        <f t="shared" si="3"/>
        <v>4</v>
      </c>
      <c r="F14" s="47"/>
      <c r="G14" s="71" t="s">
        <v>70</v>
      </c>
      <c r="H14" s="67">
        <f ca="1">VLOOKUP(A14,Calculo!A:I,9,0)</f>
        <v>12</v>
      </c>
      <c r="I14" s="66">
        <f ca="1">VLOOKUP(B14,Calculo!B:I,8,FALSE)-E14</f>
        <v>8</v>
      </c>
      <c r="J14" s="66" t="str">
        <f t="shared" ca="1" si="2"/>
        <v>OK</v>
      </c>
      <c r="K14" s="70"/>
    </row>
    <row r="15" spans="1:11" ht="18.75" x14ac:dyDescent="0.25">
      <c r="A15" s="47">
        <v>1011</v>
      </c>
      <c r="B15" s="64" t="s">
        <v>19</v>
      </c>
      <c r="C15" s="65">
        <v>46095</v>
      </c>
      <c r="D15" s="65">
        <v>46099</v>
      </c>
      <c r="E15" s="63">
        <f t="shared" si="3"/>
        <v>4</v>
      </c>
      <c r="F15" s="47"/>
      <c r="G15" s="71" t="s">
        <v>70</v>
      </c>
      <c r="H15" s="67">
        <f ca="1">VLOOKUP(A15,Calculo!A:I,9,0)</f>
        <v>12</v>
      </c>
      <c r="I15" s="66">
        <f ca="1">VLOOKUP(B15,Calculo!B:I,8,FALSE)-E15</f>
        <v>8</v>
      </c>
      <c r="J15" s="66" t="str">
        <f t="shared" ca="1" si="2"/>
        <v>OK</v>
      </c>
      <c r="K15" s="70"/>
    </row>
    <row r="16" spans="1:11" ht="18.75" x14ac:dyDescent="0.25">
      <c r="A16" s="47">
        <v>1012</v>
      </c>
      <c r="B16" s="64" t="s">
        <v>20</v>
      </c>
      <c r="C16" s="65">
        <v>46096</v>
      </c>
      <c r="D16" s="65">
        <v>46100</v>
      </c>
      <c r="E16" s="63">
        <f t="shared" si="3"/>
        <v>4</v>
      </c>
      <c r="F16" s="47"/>
      <c r="G16" s="71" t="s">
        <v>70</v>
      </c>
      <c r="H16" s="67">
        <f ca="1">VLOOKUP(A16,Calculo!A:I,9,0)</f>
        <v>12</v>
      </c>
      <c r="I16" s="66">
        <f ca="1">VLOOKUP(B16,Calculo!B:I,8,FALSE)-E16</f>
        <v>8</v>
      </c>
      <c r="J16" s="66" t="str">
        <f t="shared" ca="1" si="2"/>
        <v>OK</v>
      </c>
      <c r="K16" s="70"/>
    </row>
    <row r="17" spans="1:12" ht="18.75" x14ac:dyDescent="0.25">
      <c r="A17" s="47">
        <v>1013</v>
      </c>
      <c r="B17" s="64" t="s">
        <v>21</v>
      </c>
      <c r="C17" s="65">
        <v>46097</v>
      </c>
      <c r="D17" s="65">
        <v>46101</v>
      </c>
      <c r="E17" s="63">
        <f t="shared" si="3"/>
        <v>4</v>
      </c>
      <c r="F17" s="47"/>
      <c r="G17" s="71" t="s">
        <v>70</v>
      </c>
      <c r="H17" s="67">
        <f ca="1">VLOOKUP(A17,Calculo!A:I,9,0)</f>
        <v>12</v>
      </c>
      <c r="I17" s="66">
        <f ca="1">VLOOKUP(B17,Calculo!B:I,8,FALSE)-E17</f>
        <v>8</v>
      </c>
      <c r="J17" s="66" t="str">
        <f t="shared" ca="1" si="2"/>
        <v>OK</v>
      </c>
      <c r="K17" s="70"/>
    </row>
    <row r="18" spans="1:12" ht="18.75" x14ac:dyDescent="0.25">
      <c r="A18" s="47">
        <v>1014</v>
      </c>
      <c r="B18" s="64" t="s">
        <v>22</v>
      </c>
      <c r="C18" s="65">
        <v>46098</v>
      </c>
      <c r="D18" s="65">
        <v>46102</v>
      </c>
      <c r="E18" s="63">
        <f t="shared" si="3"/>
        <v>4</v>
      </c>
      <c r="F18" s="47"/>
      <c r="G18" s="71" t="s">
        <v>70</v>
      </c>
      <c r="H18" s="67">
        <f ca="1">VLOOKUP(A18,Calculo!A:I,9,0)</f>
        <v>12</v>
      </c>
      <c r="I18" s="66">
        <f ca="1">VLOOKUP(B18,Calculo!B:I,8,FALSE)-E18</f>
        <v>8</v>
      </c>
      <c r="J18" s="66" t="str">
        <f t="shared" ca="1" si="2"/>
        <v>OK</v>
      </c>
      <c r="K18" s="70"/>
    </row>
    <row r="23" spans="1:12" x14ac:dyDescent="0.25">
      <c r="L23" s="6" t="s">
        <v>71</v>
      </c>
    </row>
    <row r="24" spans="1:12" x14ac:dyDescent="0.25">
      <c r="L24" t="s">
        <v>70</v>
      </c>
    </row>
    <row r="25" spans="1:12" x14ac:dyDescent="0.25">
      <c r="L25" t="s">
        <v>69</v>
      </c>
    </row>
    <row r="26" spans="1:12" x14ac:dyDescent="0.25">
      <c r="L26" t="s">
        <v>68</v>
      </c>
    </row>
  </sheetData>
  <conditionalFormatting sqref="A1:K1 A2:F4 K2:K4">
    <cfRule type="duplicateValues" dxfId="0" priority="37"/>
  </conditionalFormatting>
  <dataValidations count="1">
    <dataValidation type="list" allowBlank="1" showInputMessage="1" showErrorMessage="1" sqref="G2:G27" xr:uid="{4162B200-0DD0-41B9-87E4-DF10FEBBDCA3}">
      <formula1>$L$24:$L$26</formula1>
    </dataValidation>
  </dataValidations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4" name="Button 12">
              <controlPr defaultSize="0" print="0" autoFill="0" autoPict="0" macro="[0]!Menu">
                <anchor moveWithCells="1" sizeWithCells="1">
                  <from>
                    <xdr:col>11</xdr:col>
                    <xdr:colOff>171450</xdr:colOff>
                    <xdr:row>0</xdr:row>
                    <xdr:rowOff>47625</xdr:rowOff>
                  </from>
                  <to>
                    <xdr:col>12</xdr:col>
                    <xdr:colOff>533400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5" name="Button 25">
              <controlPr defaultSize="0" print="0" autoFill="0" autoPict="0" macro="[0]!Enviar_Respuesta_Solicitud">
                <anchor moveWithCells="1">
                  <from>
                    <xdr:col>11</xdr:col>
                    <xdr:colOff>161925</xdr:colOff>
                    <xdr:row>0</xdr:row>
                    <xdr:rowOff>419100</xdr:rowOff>
                  </from>
                  <to>
                    <xdr:col>13</xdr:col>
                    <xdr:colOff>28575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D1FD6-01D1-436E-BD35-573649191FAA}">
  <sheetPr codeName="Hoja5"/>
  <dimension ref="A1:L24"/>
  <sheetViews>
    <sheetView showGridLines="0" topLeftCell="A12" zoomScale="115" zoomScaleNormal="115" workbookViewId="0">
      <selection activeCell="A21" sqref="A21:XFD21"/>
    </sheetView>
  </sheetViews>
  <sheetFormatPr baseColWidth="10" defaultRowHeight="15" x14ac:dyDescent="0.25"/>
  <cols>
    <col min="1" max="1" width="7.42578125" style="3" bestFit="1" customWidth="1"/>
    <col min="2" max="2" width="10.42578125" style="3" bestFit="1" customWidth="1"/>
    <col min="3" max="3" width="13.85546875" style="8" bestFit="1" customWidth="1"/>
    <col min="4" max="4" width="15.42578125" style="3" bestFit="1" customWidth="1"/>
    <col min="5" max="5" width="16.7109375" style="3" bestFit="1" customWidth="1"/>
    <col min="6" max="6" width="11.42578125" style="3" bestFit="1" customWidth="1"/>
    <col min="7" max="7" width="22.140625" style="3" customWidth="1"/>
    <col min="8" max="8" width="12.7109375" style="3" customWidth="1"/>
    <col min="9" max="9" width="6.85546875" style="3" bestFit="1" customWidth="1"/>
    <col min="10" max="10" width="8.7109375" style="93" bestFit="1" customWidth="1"/>
    <col min="11" max="11" width="12.5703125" style="3" bestFit="1" customWidth="1"/>
    <col min="12" max="12" width="11.42578125" style="93"/>
    <col min="13" max="16384" width="11.42578125" style="3"/>
  </cols>
  <sheetData>
    <row r="1" spans="1:12" s="10" customFormat="1" ht="30" x14ac:dyDescent="0.25">
      <c r="A1" s="51" t="s">
        <v>28</v>
      </c>
      <c r="B1" s="51" t="s">
        <v>0</v>
      </c>
      <c r="C1" s="88" t="s">
        <v>31</v>
      </c>
      <c r="D1" s="51" t="s">
        <v>52</v>
      </c>
      <c r="E1" s="51" t="s">
        <v>48</v>
      </c>
      <c r="F1" s="51" t="s">
        <v>49</v>
      </c>
      <c r="G1" s="51" t="s">
        <v>51</v>
      </c>
      <c r="H1" s="51" t="s">
        <v>50</v>
      </c>
      <c r="I1" s="51" t="s">
        <v>119</v>
      </c>
      <c r="J1" s="91" t="s">
        <v>120</v>
      </c>
      <c r="K1" s="51" t="s">
        <v>121</v>
      </c>
      <c r="L1" s="91" t="s">
        <v>122</v>
      </c>
    </row>
    <row r="2" spans="1:12" x14ac:dyDescent="0.25">
      <c r="A2" s="87">
        <v>1001</v>
      </c>
      <c r="B2" s="87" t="s">
        <v>2</v>
      </c>
      <c r="C2" s="89">
        <v>44571</v>
      </c>
      <c r="D2" s="87">
        <f ca="1">DATEDIF(C2,TODAY(),"Y")</f>
        <v>4</v>
      </c>
      <c r="E2" s="87">
        <f ca="1">DATEDIF(C2,TODAY(),"M")</f>
        <v>50</v>
      </c>
      <c r="F2" s="87">
        <f ca="1">INT(E2/12)*12</f>
        <v>48</v>
      </c>
      <c r="G2" s="87">
        <f ca="1">12*(D2-1)</f>
        <v>36</v>
      </c>
      <c r="H2" s="87">
        <f ca="1">G2</f>
        <v>36</v>
      </c>
      <c r="I2" s="87">
        <f ca="1">F2-H2</f>
        <v>12</v>
      </c>
      <c r="J2" s="92">
        <f>IFERROR(VLOOKUP(A2,'Estatus de Vacaciones'!A:E,5,0),0)</f>
        <v>7</v>
      </c>
      <c r="K2" s="87" t="str">
        <f>IFERROR(VLOOKUP(A2,'Estatus de Vacaciones'!A:G,7,0),"No Aplica")</f>
        <v>Aprobado</v>
      </c>
      <c r="L2" s="94">
        <f ca="1">I2-J2</f>
        <v>5</v>
      </c>
    </row>
    <row r="3" spans="1:12" x14ac:dyDescent="0.25">
      <c r="A3" s="87">
        <v>1002</v>
      </c>
      <c r="B3" s="87" t="s">
        <v>3</v>
      </c>
      <c r="C3" s="89">
        <v>45000</v>
      </c>
      <c r="D3" s="87">
        <f t="shared" ref="D3:D24" ca="1" si="0">DATEDIF(C3,TODAY(),"Y")</f>
        <v>2</v>
      </c>
      <c r="E3" s="87">
        <f t="shared" ref="E3:E23" ca="1" si="1">DATEDIF(C3,TODAY(),"M")</f>
        <v>35</v>
      </c>
      <c r="F3" s="87">
        <f t="shared" ref="F3:F24" ca="1" si="2">INT(E3/12)*12</f>
        <v>24</v>
      </c>
      <c r="G3" s="87">
        <f t="shared" ref="G3:G23" ca="1" si="3">12*(D3-1)</f>
        <v>12</v>
      </c>
      <c r="H3" s="87">
        <f t="shared" ref="H3:H24" ca="1" si="4">G3</f>
        <v>12</v>
      </c>
      <c r="I3" s="87">
        <f t="shared" ref="I3:I23" ca="1" si="5">F3-H3</f>
        <v>12</v>
      </c>
      <c r="J3" s="92">
        <f>IFERROR(VLOOKUP(A3,'Estatus de Vacaciones'!A:E,5,0),0)</f>
        <v>10</v>
      </c>
      <c r="K3" s="87" t="str">
        <f>IFERROR(VLOOKUP(A3,'Estatus de Vacaciones'!A:G,7,0),"No Aplica")</f>
        <v>Pendiente</v>
      </c>
      <c r="L3" s="94">
        <f t="shared" ref="L3:L24" ca="1" si="6">I3-J3</f>
        <v>2</v>
      </c>
    </row>
    <row r="4" spans="1:12" x14ac:dyDescent="0.25">
      <c r="A4" s="87">
        <v>1003</v>
      </c>
      <c r="B4" s="87" t="s">
        <v>11</v>
      </c>
      <c r="C4" s="89">
        <v>45001</v>
      </c>
      <c r="D4" s="87">
        <f t="shared" ca="1" si="0"/>
        <v>2</v>
      </c>
      <c r="E4" s="87">
        <f t="shared" ca="1" si="1"/>
        <v>35</v>
      </c>
      <c r="F4" s="87">
        <f t="shared" ca="1" si="2"/>
        <v>24</v>
      </c>
      <c r="G4" s="87">
        <f t="shared" ca="1" si="3"/>
        <v>12</v>
      </c>
      <c r="H4" s="87">
        <f t="shared" ca="1" si="4"/>
        <v>12</v>
      </c>
      <c r="I4" s="87">
        <f t="shared" ca="1" si="5"/>
        <v>12</v>
      </c>
      <c r="J4" s="92">
        <f>IFERROR(VLOOKUP(A4,'Estatus de Vacaciones'!A:E,5,0),0)</f>
        <v>4</v>
      </c>
      <c r="K4" s="87" t="str">
        <f>IFERROR(VLOOKUP(A4,'Estatus de Vacaciones'!A:G,7,0),"No Aplica")</f>
        <v>Pendiente</v>
      </c>
      <c r="L4" s="94">
        <f t="shared" ca="1" si="6"/>
        <v>8</v>
      </c>
    </row>
    <row r="5" spans="1:12" x14ac:dyDescent="0.25">
      <c r="A5" s="87">
        <v>1004</v>
      </c>
      <c r="B5" s="87" t="s">
        <v>12</v>
      </c>
      <c r="C5" s="89">
        <v>45002</v>
      </c>
      <c r="D5" s="87">
        <f t="shared" ca="1" si="0"/>
        <v>2</v>
      </c>
      <c r="E5" s="87">
        <f t="shared" ca="1" si="1"/>
        <v>35</v>
      </c>
      <c r="F5" s="87">
        <f t="shared" ca="1" si="2"/>
        <v>24</v>
      </c>
      <c r="G5" s="87">
        <f t="shared" ca="1" si="3"/>
        <v>12</v>
      </c>
      <c r="H5" s="87">
        <f t="shared" ca="1" si="4"/>
        <v>12</v>
      </c>
      <c r="I5" s="87">
        <f t="shared" ca="1" si="5"/>
        <v>12</v>
      </c>
      <c r="J5" s="92">
        <f>IFERROR(VLOOKUP(A5,'Estatus de Vacaciones'!A:E,5,0),0)</f>
        <v>4</v>
      </c>
      <c r="K5" s="87" t="str">
        <f>IFERROR(VLOOKUP(A5,'Estatus de Vacaciones'!A:G,7,0),"No Aplica")</f>
        <v>Pendiente</v>
      </c>
      <c r="L5" s="94">
        <f t="shared" ca="1" si="6"/>
        <v>8</v>
      </c>
    </row>
    <row r="6" spans="1:12" x14ac:dyDescent="0.25">
      <c r="A6" s="87">
        <v>1005</v>
      </c>
      <c r="B6" s="87" t="s">
        <v>13</v>
      </c>
      <c r="C6" s="89">
        <v>44638</v>
      </c>
      <c r="D6" s="87">
        <f t="shared" ca="1" si="0"/>
        <v>3</v>
      </c>
      <c r="E6" s="87">
        <f t="shared" ca="1" si="1"/>
        <v>47</v>
      </c>
      <c r="F6" s="87">
        <f t="shared" ca="1" si="2"/>
        <v>36</v>
      </c>
      <c r="G6" s="87">
        <f t="shared" ca="1" si="3"/>
        <v>24</v>
      </c>
      <c r="H6" s="87">
        <f t="shared" ca="1" si="4"/>
        <v>24</v>
      </c>
      <c r="I6" s="87">
        <f t="shared" ca="1" si="5"/>
        <v>12</v>
      </c>
      <c r="J6" s="92">
        <f>IFERROR(VLOOKUP(A6,'Estatus de Vacaciones'!A:E,5,0),0)</f>
        <v>4</v>
      </c>
      <c r="K6" s="87" t="str">
        <f>IFERROR(VLOOKUP(A6,'Estatus de Vacaciones'!A:G,7,0),"No Aplica")</f>
        <v>Pendiente</v>
      </c>
      <c r="L6" s="94">
        <f t="shared" ca="1" si="6"/>
        <v>8</v>
      </c>
    </row>
    <row r="7" spans="1:12" x14ac:dyDescent="0.25">
      <c r="A7" s="87">
        <v>1006</v>
      </c>
      <c r="B7" s="87" t="s">
        <v>14</v>
      </c>
      <c r="C7" s="89">
        <v>43909</v>
      </c>
      <c r="D7" s="87">
        <f t="shared" ca="1" si="0"/>
        <v>5</v>
      </c>
      <c r="E7" s="87">
        <f t="shared" ca="1" si="1"/>
        <v>71</v>
      </c>
      <c r="F7" s="87">
        <f t="shared" ca="1" si="2"/>
        <v>60</v>
      </c>
      <c r="G7" s="87">
        <f t="shared" ca="1" si="3"/>
        <v>48</v>
      </c>
      <c r="H7" s="87">
        <f t="shared" ca="1" si="4"/>
        <v>48</v>
      </c>
      <c r="I7" s="87">
        <f t="shared" ca="1" si="5"/>
        <v>12</v>
      </c>
      <c r="J7" s="92">
        <f>IFERROR(VLOOKUP(A7,'Estatus de Vacaciones'!A:E,5,0),0)</f>
        <v>4</v>
      </c>
      <c r="K7" s="87" t="str">
        <f>IFERROR(VLOOKUP(A7,'Estatus de Vacaciones'!A:G,7,0),"No Aplica")</f>
        <v>Pendiente</v>
      </c>
      <c r="L7" s="94">
        <f t="shared" ca="1" si="6"/>
        <v>8</v>
      </c>
    </row>
    <row r="8" spans="1:12" x14ac:dyDescent="0.25">
      <c r="A8" s="87">
        <v>1007</v>
      </c>
      <c r="B8" s="87" t="s">
        <v>15</v>
      </c>
      <c r="C8" s="89">
        <v>44275</v>
      </c>
      <c r="D8" s="87">
        <f t="shared" ca="1" si="0"/>
        <v>4</v>
      </c>
      <c r="E8" s="87">
        <f t="shared" ca="1" si="1"/>
        <v>59</v>
      </c>
      <c r="F8" s="87">
        <f t="shared" ca="1" si="2"/>
        <v>48</v>
      </c>
      <c r="G8" s="87">
        <f t="shared" ca="1" si="3"/>
        <v>36</v>
      </c>
      <c r="H8" s="87">
        <f t="shared" ca="1" si="4"/>
        <v>36</v>
      </c>
      <c r="I8" s="87">
        <f t="shared" ca="1" si="5"/>
        <v>12</v>
      </c>
      <c r="J8" s="92">
        <f>IFERROR(VLOOKUP(A8,'Estatus de Vacaciones'!A:E,5,0),0)</f>
        <v>4</v>
      </c>
      <c r="K8" s="87" t="str">
        <f>IFERROR(VLOOKUP(A8,'Estatus de Vacaciones'!A:G,7,0),"No Aplica")</f>
        <v>Pendiente</v>
      </c>
      <c r="L8" s="94">
        <f t="shared" ca="1" si="6"/>
        <v>8</v>
      </c>
    </row>
    <row r="9" spans="1:12" x14ac:dyDescent="0.25">
      <c r="A9" s="87">
        <v>1008</v>
      </c>
      <c r="B9" s="87" t="s">
        <v>16</v>
      </c>
      <c r="C9" s="89">
        <v>45006</v>
      </c>
      <c r="D9" s="87">
        <f t="shared" ca="1" si="0"/>
        <v>2</v>
      </c>
      <c r="E9" s="87">
        <f t="shared" ca="1" si="1"/>
        <v>35</v>
      </c>
      <c r="F9" s="87">
        <f t="shared" ca="1" si="2"/>
        <v>24</v>
      </c>
      <c r="G9" s="87">
        <f t="shared" ca="1" si="3"/>
        <v>12</v>
      </c>
      <c r="H9" s="87">
        <f t="shared" ca="1" si="4"/>
        <v>12</v>
      </c>
      <c r="I9" s="87">
        <f t="shared" ca="1" si="5"/>
        <v>12</v>
      </c>
      <c r="J9" s="92">
        <f>IFERROR(VLOOKUP(A9,'Estatus de Vacaciones'!A:E,5,0),0)</f>
        <v>4</v>
      </c>
      <c r="K9" s="87" t="str">
        <f>IFERROR(VLOOKUP(A9,'Estatus de Vacaciones'!A:G,7,0),"No Aplica")</f>
        <v>Pendiente</v>
      </c>
      <c r="L9" s="94">
        <f t="shared" ca="1" si="6"/>
        <v>8</v>
      </c>
    </row>
    <row r="10" spans="1:12" x14ac:dyDescent="0.25">
      <c r="A10" s="87">
        <v>1009</v>
      </c>
      <c r="B10" s="87" t="s">
        <v>17</v>
      </c>
      <c r="C10" s="89">
        <v>45373</v>
      </c>
      <c r="D10" s="87">
        <f t="shared" ca="1" si="0"/>
        <v>1</v>
      </c>
      <c r="E10" s="87">
        <f t="shared" ca="1" si="1"/>
        <v>23</v>
      </c>
      <c r="F10" s="87">
        <f ca="1">INT(E10/12)*12</f>
        <v>12</v>
      </c>
      <c r="G10" s="87">
        <f t="shared" ca="1" si="3"/>
        <v>0</v>
      </c>
      <c r="H10" s="87">
        <f t="shared" ca="1" si="4"/>
        <v>0</v>
      </c>
      <c r="I10" s="87">
        <f t="shared" ca="1" si="5"/>
        <v>12</v>
      </c>
      <c r="J10" s="92">
        <f>IFERROR(VLOOKUP(A10,'Estatus de Vacaciones'!A:E,5,0),0)</f>
        <v>4</v>
      </c>
      <c r="K10" s="87" t="str">
        <f>IFERROR(VLOOKUP(A10,'Estatus de Vacaciones'!A:G,7,0),"No Aplica")</f>
        <v>Pendiente</v>
      </c>
      <c r="L10" s="94">
        <f t="shared" ca="1" si="6"/>
        <v>8</v>
      </c>
    </row>
    <row r="11" spans="1:12" s="111" customFormat="1" x14ac:dyDescent="0.25">
      <c r="A11" s="107">
        <v>1010</v>
      </c>
      <c r="B11" s="107" t="s">
        <v>18</v>
      </c>
      <c r="C11" s="108">
        <v>45726</v>
      </c>
      <c r="D11" s="107">
        <f t="shared" ca="1" si="0"/>
        <v>1</v>
      </c>
      <c r="E11" s="107">
        <f t="shared" ca="1" si="1"/>
        <v>12</v>
      </c>
      <c r="F11" s="107">
        <f t="shared" ca="1" si="2"/>
        <v>12</v>
      </c>
      <c r="G11" s="107">
        <f t="shared" ca="1" si="3"/>
        <v>0</v>
      </c>
      <c r="H11" s="107">
        <f t="shared" ca="1" si="4"/>
        <v>0</v>
      </c>
      <c r="I11" s="107">
        <f t="shared" ca="1" si="5"/>
        <v>12</v>
      </c>
      <c r="J11" s="109">
        <f>IFERROR(VLOOKUP(A11,'Estatus de Vacaciones'!A:E,5,0),0)</f>
        <v>4</v>
      </c>
      <c r="K11" s="107" t="str">
        <f>IFERROR(VLOOKUP(A11,'Estatus de Vacaciones'!A:G,7,0),"No Aplica")</f>
        <v>Pendiente</v>
      </c>
      <c r="L11" s="110">
        <f t="shared" ca="1" si="6"/>
        <v>8</v>
      </c>
    </row>
    <row r="12" spans="1:12" x14ac:dyDescent="0.25">
      <c r="A12" s="87">
        <v>1011</v>
      </c>
      <c r="B12" s="87" t="s">
        <v>19</v>
      </c>
      <c r="C12" s="89">
        <v>44644</v>
      </c>
      <c r="D12" s="87">
        <f t="shared" ca="1" si="0"/>
        <v>3</v>
      </c>
      <c r="E12" s="87">
        <f t="shared" ca="1" si="1"/>
        <v>47</v>
      </c>
      <c r="F12" s="87">
        <f t="shared" ca="1" si="2"/>
        <v>36</v>
      </c>
      <c r="G12" s="87">
        <f t="shared" ca="1" si="3"/>
        <v>24</v>
      </c>
      <c r="H12" s="87">
        <f t="shared" ca="1" si="4"/>
        <v>24</v>
      </c>
      <c r="I12" s="87">
        <f t="shared" ca="1" si="5"/>
        <v>12</v>
      </c>
      <c r="J12" s="92">
        <f>IFERROR(VLOOKUP(A12,'Estatus de Vacaciones'!A:E,5,0),0)</f>
        <v>4</v>
      </c>
      <c r="K12" s="87" t="str">
        <f>IFERROR(VLOOKUP(A12,'Estatus de Vacaciones'!A:G,7,0),"No Aplica")</f>
        <v>Pendiente</v>
      </c>
      <c r="L12" s="94">
        <f t="shared" ca="1" si="6"/>
        <v>8</v>
      </c>
    </row>
    <row r="13" spans="1:12" x14ac:dyDescent="0.25">
      <c r="A13" s="87">
        <v>1012</v>
      </c>
      <c r="B13" s="87" t="s">
        <v>20</v>
      </c>
      <c r="C13" s="89">
        <v>45102</v>
      </c>
      <c r="D13" s="87">
        <f t="shared" ca="1" si="0"/>
        <v>2</v>
      </c>
      <c r="E13" s="87">
        <f t="shared" ca="1" si="1"/>
        <v>32</v>
      </c>
      <c r="F13" s="87">
        <f t="shared" ca="1" si="2"/>
        <v>24</v>
      </c>
      <c r="G13" s="87">
        <f t="shared" ca="1" si="3"/>
        <v>12</v>
      </c>
      <c r="H13" s="87">
        <f t="shared" ca="1" si="4"/>
        <v>12</v>
      </c>
      <c r="I13" s="87">
        <f t="shared" ca="1" si="5"/>
        <v>12</v>
      </c>
      <c r="J13" s="92">
        <f>IFERROR(VLOOKUP(A13,'Estatus de Vacaciones'!A:E,5,0),0)</f>
        <v>4</v>
      </c>
      <c r="K13" s="87" t="str">
        <f>IFERROR(VLOOKUP(A13,'Estatus de Vacaciones'!A:G,7,0),"No Aplica")</f>
        <v>Pendiente</v>
      </c>
      <c r="L13" s="94">
        <f t="shared" ca="1" si="6"/>
        <v>8</v>
      </c>
    </row>
    <row r="14" spans="1:12" x14ac:dyDescent="0.25">
      <c r="A14" s="87">
        <v>1013</v>
      </c>
      <c r="B14" s="87" t="s">
        <v>21</v>
      </c>
      <c r="C14" s="89">
        <v>45011</v>
      </c>
      <c r="D14" s="87">
        <f t="shared" ca="1" si="0"/>
        <v>2</v>
      </c>
      <c r="E14" s="87">
        <f t="shared" ca="1" si="1"/>
        <v>35</v>
      </c>
      <c r="F14" s="87">
        <f t="shared" ca="1" si="2"/>
        <v>24</v>
      </c>
      <c r="G14" s="87">
        <f t="shared" ca="1" si="3"/>
        <v>12</v>
      </c>
      <c r="H14" s="87">
        <f t="shared" ca="1" si="4"/>
        <v>12</v>
      </c>
      <c r="I14" s="87">
        <f t="shared" ca="1" si="5"/>
        <v>12</v>
      </c>
      <c r="J14" s="92">
        <f>IFERROR(VLOOKUP(A14,'Estatus de Vacaciones'!A:E,5,0),0)</f>
        <v>4</v>
      </c>
      <c r="K14" s="87" t="str">
        <f>IFERROR(VLOOKUP(A14,'Estatus de Vacaciones'!A:G,7,0),"No Aplica")</f>
        <v>Pendiente</v>
      </c>
      <c r="L14" s="94">
        <f t="shared" ca="1" si="6"/>
        <v>8</v>
      </c>
    </row>
    <row r="15" spans="1:12" x14ac:dyDescent="0.25">
      <c r="A15" s="87">
        <v>1014</v>
      </c>
      <c r="B15" s="87" t="s">
        <v>22</v>
      </c>
      <c r="C15" s="89">
        <v>45012</v>
      </c>
      <c r="D15" s="87">
        <f t="shared" ca="1" si="0"/>
        <v>2</v>
      </c>
      <c r="E15" s="87">
        <f t="shared" ca="1" si="1"/>
        <v>35</v>
      </c>
      <c r="F15" s="87">
        <f t="shared" ca="1" si="2"/>
        <v>24</v>
      </c>
      <c r="G15" s="87">
        <f t="shared" ca="1" si="3"/>
        <v>12</v>
      </c>
      <c r="H15" s="87">
        <f t="shared" ca="1" si="4"/>
        <v>12</v>
      </c>
      <c r="I15" s="87">
        <f t="shared" ca="1" si="5"/>
        <v>12</v>
      </c>
      <c r="J15" s="92">
        <f>IFERROR(VLOOKUP(A15,'Estatus de Vacaciones'!A:E,5,0),0)</f>
        <v>4</v>
      </c>
      <c r="K15" s="87" t="str">
        <f>IFERROR(VLOOKUP(A15,'Estatus de Vacaciones'!A:G,7,0),"No Aplica")</f>
        <v>Pendiente</v>
      </c>
      <c r="L15" s="94">
        <f t="shared" ca="1" si="6"/>
        <v>8</v>
      </c>
    </row>
    <row r="16" spans="1:12" x14ac:dyDescent="0.25">
      <c r="A16" s="87">
        <v>1015</v>
      </c>
      <c r="B16" s="87" t="s">
        <v>23</v>
      </c>
      <c r="C16" s="89">
        <v>44985</v>
      </c>
      <c r="D16" s="87">
        <f t="shared" ca="1" si="0"/>
        <v>3</v>
      </c>
      <c r="E16" s="87">
        <f t="shared" ca="1" si="1"/>
        <v>36</v>
      </c>
      <c r="F16" s="87">
        <f t="shared" ca="1" si="2"/>
        <v>36</v>
      </c>
      <c r="G16" s="87">
        <f t="shared" ca="1" si="3"/>
        <v>24</v>
      </c>
      <c r="H16" s="87">
        <f t="shared" ca="1" si="4"/>
        <v>24</v>
      </c>
      <c r="I16" s="87">
        <f t="shared" ca="1" si="5"/>
        <v>12</v>
      </c>
      <c r="J16" s="92">
        <f>IFERROR(VLOOKUP(A16,'Estatus de Vacaciones'!A:E,5,0),0)</f>
        <v>0</v>
      </c>
      <c r="K16" s="87" t="str">
        <f>IFERROR(VLOOKUP(A16,'Estatus de Vacaciones'!A:G,7,0),"No Aplica")</f>
        <v>No Aplica</v>
      </c>
      <c r="L16" s="94">
        <f t="shared" ca="1" si="6"/>
        <v>12</v>
      </c>
    </row>
    <row r="17" spans="1:12" ht="12" customHeight="1" x14ac:dyDescent="0.25">
      <c r="A17" s="87">
        <v>1016</v>
      </c>
      <c r="B17" s="87" t="s">
        <v>24</v>
      </c>
      <c r="C17" s="89">
        <v>44977</v>
      </c>
      <c r="D17" s="87">
        <f t="shared" ca="1" si="0"/>
        <v>3</v>
      </c>
      <c r="E17" s="87">
        <f t="shared" ca="1" si="1"/>
        <v>36</v>
      </c>
      <c r="F17" s="87">
        <f t="shared" ca="1" si="2"/>
        <v>36</v>
      </c>
      <c r="G17" s="87">
        <f t="shared" ca="1" si="3"/>
        <v>24</v>
      </c>
      <c r="H17" s="87">
        <f t="shared" ca="1" si="4"/>
        <v>24</v>
      </c>
      <c r="I17" s="87">
        <f t="shared" ca="1" si="5"/>
        <v>12</v>
      </c>
      <c r="J17" s="92">
        <f>IFERROR(VLOOKUP(A17,'Estatus de Vacaciones'!A:E,5,0),0)</f>
        <v>0</v>
      </c>
      <c r="K17" s="87" t="str">
        <f>IFERROR(VLOOKUP(A17,'Estatus de Vacaciones'!A:G,7,0),"No Aplica")</f>
        <v>No Aplica</v>
      </c>
      <c r="L17" s="94">
        <f t="shared" ca="1" si="6"/>
        <v>12</v>
      </c>
    </row>
    <row r="18" spans="1:12" x14ac:dyDescent="0.25">
      <c r="A18" s="87">
        <v>1017</v>
      </c>
      <c r="B18" s="87" t="s">
        <v>25</v>
      </c>
      <c r="C18" s="89">
        <v>44972</v>
      </c>
      <c r="D18" s="87">
        <f t="shared" ca="1" si="0"/>
        <v>3</v>
      </c>
      <c r="E18" s="87">
        <f t="shared" ca="1" si="1"/>
        <v>36</v>
      </c>
      <c r="F18" s="87">
        <f t="shared" ca="1" si="2"/>
        <v>36</v>
      </c>
      <c r="G18" s="87">
        <f t="shared" ca="1" si="3"/>
        <v>24</v>
      </c>
      <c r="H18" s="87">
        <f t="shared" ca="1" si="4"/>
        <v>24</v>
      </c>
      <c r="I18" s="87">
        <f t="shared" ca="1" si="5"/>
        <v>12</v>
      </c>
      <c r="J18" s="92">
        <f>IFERROR(VLOOKUP(A18,'Estatus de Vacaciones'!A:E,5,0),0)</f>
        <v>0</v>
      </c>
      <c r="K18" s="87" t="str">
        <f>IFERROR(VLOOKUP(A18,'Estatus de Vacaciones'!A:G,7,0),"No Aplica")</f>
        <v>No Aplica</v>
      </c>
      <c r="L18" s="94">
        <f t="shared" ca="1" si="6"/>
        <v>12</v>
      </c>
    </row>
    <row r="19" spans="1:12" x14ac:dyDescent="0.25">
      <c r="A19" s="87">
        <v>1018</v>
      </c>
      <c r="B19" s="87" t="s">
        <v>26</v>
      </c>
      <c r="C19" s="89">
        <v>44957</v>
      </c>
      <c r="D19" s="87">
        <f t="shared" ca="1" si="0"/>
        <v>3</v>
      </c>
      <c r="E19" s="87">
        <f t="shared" ca="1" si="1"/>
        <v>37</v>
      </c>
      <c r="F19" s="87">
        <f t="shared" ca="1" si="2"/>
        <v>36</v>
      </c>
      <c r="G19" s="87">
        <f t="shared" ca="1" si="3"/>
        <v>24</v>
      </c>
      <c r="H19" s="87">
        <f t="shared" ca="1" si="4"/>
        <v>24</v>
      </c>
      <c r="I19" s="87">
        <f t="shared" ca="1" si="5"/>
        <v>12</v>
      </c>
      <c r="J19" s="92">
        <f>IFERROR(VLOOKUP(A19,'Estatus de Vacaciones'!A:E,5,0),0)</f>
        <v>0</v>
      </c>
      <c r="K19" s="87" t="str">
        <f>IFERROR(VLOOKUP(A19,'Estatus de Vacaciones'!A:G,7,0),"No Aplica")</f>
        <v>No Aplica</v>
      </c>
      <c r="L19" s="94">
        <f t="shared" ca="1" si="6"/>
        <v>12</v>
      </c>
    </row>
    <row r="20" spans="1:12" x14ac:dyDescent="0.25">
      <c r="A20" s="87">
        <v>1019</v>
      </c>
      <c r="B20" s="87" t="s">
        <v>27</v>
      </c>
      <c r="C20" s="89">
        <v>45017</v>
      </c>
      <c r="D20" s="87">
        <f t="shared" ca="1" si="0"/>
        <v>2</v>
      </c>
      <c r="E20" s="87">
        <f t="shared" ca="1" si="1"/>
        <v>35</v>
      </c>
      <c r="F20" s="87">
        <f t="shared" ca="1" si="2"/>
        <v>24</v>
      </c>
      <c r="G20" s="87">
        <f t="shared" ca="1" si="3"/>
        <v>12</v>
      </c>
      <c r="H20" s="87">
        <f t="shared" ca="1" si="4"/>
        <v>12</v>
      </c>
      <c r="I20" s="87">
        <f t="shared" ca="1" si="5"/>
        <v>12</v>
      </c>
      <c r="J20" s="92">
        <f>IFERROR(VLOOKUP(A20,'Estatus de Vacaciones'!A:E,5,0),0)</f>
        <v>0</v>
      </c>
      <c r="K20" s="87" t="str">
        <f>IFERROR(VLOOKUP(A20,'Estatus de Vacaciones'!A:G,7,0),"No Aplica")</f>
        <v>No Aplica</v>
      </c>
      <c r="L20" s="94">
        <f t="shared" ca="1" si="6"/>
        <v>12</v>
      </c>
    </row>
    <row r="21" spans="1:12" x14ac:dyDescent="0.25">
      <c r="A21" s="87">
        <v>1020</v>
      </c>
      <c r="B21" s="87" t="s">
        <v>53</v>
      </c>
      <c r="C21" s="89">
        <v>46052</v>
      </c>
      <c r="D21" s="87">
        <f t="shared" ca="1" si="0"/>
        <v>0</v>
      </c>
      <c r="E21" s="87">
        <f t="shared" ca="1" si="1"/>
        <v>1</v>
      </c>
      <c r="F21" s="87">
        <f t="shared" ca="1" si="2"/>
        <v>0</v>
      </c>
      <c r="G21" s="87">
        <f t="shared" ca="1" si="3"/>
        <v>-12</v>
      </c>
      <c r="H21" s="87">
        <f t="shared" ca="1" si="4"/>
        <v>-12</v>
      </c>
      <c r="I21" s="87">
        <f t="shared" ca="1" si="5"/>
        <v>12</v>
      </c>
      <c r="J21" s="92">
        <f>IFERROR(VLOOKUP(A21,'Estatus de Vacaciones'!A:E,5,0),0)</f>
        <v>11</v>
      </c>
      <c r="K21" s="87" t="str">
        <f>IFERROR(VLOOKUP(A21,'Estatus de Vacaciones'!A:G,7,0),"No Aplica")</f>
        <v>Aprobado</v>
      </c>
      <c r="L21" s="94">
        <f t="shared" ca="1" si="6"/>
        <v>1</v>
      </c>
    </row>
    <row r="22" spans="1:12" x14ac:dyDescent="0.25">
      <c r="A22" s="87"/>
      <c r="B22" s="87"/>
      <c r="C22" s="89"/>
      <c r="D22" s="87">
        <f t="shared" ref="D22" ca="1" si="7">DATEDIF(C22,TODAY(),"Y")</f>
        <v>126</v>
      </c>
      <c r="E22" s="87">
        <f t="shared" ref="E22" ca="1" si="8">DATEDIF(C22,TODAY(),"M")</f>
        <v>1514</v>
      </c>
      <c r="F22" s="87">
        <f t="shared" ref="F22" ca="1" si="9">INT(E22/12)*12</f>
        <v>1512</v>
      </c>
      <c r="G22" s="87">
        <f t="shared" ref="G22" ca="1" si="10">12*(D22-1)</f>
        <v>1500</v>
      </c>
      <c r="H22" s="87">
        <f t="shared" ref="H22" ca="1" si="11">G22</f>
        <v>1500</v>
      </c>
      <c r="I22" s="87">
        <f t="shared" ref="I22" ca="1" si="12">F22-H22</f>
        <v>12</v>
      </c>
      <c r="J22" s="92"/>
      <c r="K22" s="87"/>
      <c r="L22" s="94"/>
    </row>
    <row r="23" spans="1:12" x14ac:dyDescent="0.25">
      <c r="A23" s="87"/>
      <c r="B23" s="87"/>
      <c r="C23" s="89"/>
      <c r="D23" s="87">
        <f t="shared" ca="1" si="0"/>
        <v>126</v>
      </c>
      <c r="E23" s="87">
        <f t="shared" ca="1" si="1"/>
        <v>1514</v>
      </c>
      <c r="F23" s="87">
        <f t="shared" ca="1" si="2"/>
        <v>1512</v>
      </c>
      <c r="G23" s="87">
        <f t="shared" ca="1" si="3"/>
        <v>1500</v>
      </c>
      <c r="H23" s="87">
        <f t="shared" ca="1" si="4"/>
        <v>1500</v>
      </c>
      <c r="I23" s="87">
        <f t="shared" ca="1" si="5"/>
        <v>12</v>
      </c>
      <c r="J23" s="92">
        <f>IFERROR(VLOOKUP(A23,'Estatus de Vacaciones'!A:E,5,0),0)</f>
        <v>0</v>
      </c>
      <c r="K23" s="87" t="str">
        <f>IFERROR(VLOOKUP(A23,'Estatus de Vacaciones'!A:G,7,0),"No Aplica")</f>
        <v>No Aplica</v>
      </c>
      <c r="L23" s="94">
        <f t="shared" ca="1" si="6"/>
        <v>12</v>
      </c>
    </row>
    <row r="24" spans="1:12" x14ac:dyDescent="0.25">
      <c r="A24" s="87"/>
      <c r="B24" s="87"/>
      <c r="C24" s="89"/>
      <c r="D24" s="87">
        <f t="shared" ca="1" si="0"/>
        <v>126</v>
      </c>
      <c r="E24" s="87">
        <f t="shared" ref="E24" ca="1" si="13">DATEDIF(C24,TODAY(),"M")</f>
        <v>1514</v>
      </c>
      <c r="F24" s="87">
        <f t="shared" ca="1" si="2"/>
        <v>1512</v>
      </c>
      <c r="G24" s="87">
        <f t="shared" ref="G24" ca="1" si="14">12*(D24-1)</f>
        <v>1500</v>
      </c>
      <c r="H24" s="87">
        <f t="shared" ca="1" si="4"/>
        <v>1500</v>
      </c>
      <c r="I24" s="87">
        <f t="shared" ref="I24" ca="1" si="15">F24-H24</f>
        <v>12</v>
      </c>
      <c r="J24" s="92">
        <f>IFERROR(VLOOKUP(A24,'Estatus de Vacaciones'!A:E,5,0),0)</f>
        <v>0</v>
      </c>
      <c r="K24" s="87" t="str">
        <f>IFERROR(VLOOKUP(A24,'Estatus de Vacaciones'!A:G,7,0),"No Aplica")</f>
        <v>No Aplica</v>
      </c>
      <c r="L24" s="94">
        <f t="shared" ca="1" si="6"/>
        <v>12</v>
      </c>
    </row>
  </sheetData>
  <phoneticPr fontId="4" type="noConversion"/>
  <pageMargins left="0.7" right="0.7" top="0.75" bottom="0.75" header="0.3" footer="0.3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Menu">
                <anchor moveWithCells="1" sizeWithCells="1">
                  <from>
                    <xdr:col>12</xdr:col>
                    <xdr:colOff>161925</xdr:colOff>
                    <xdr:row>0</xdr:row>
                    <xdr:rowOff>19050</xdr:rowOff>
                  </from>
                  <to>
                    <xdr:col>13</xdr:col>
                    <xdr:colOff>714375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5FF5-5E32-407E-8783-0BD91D0918C2}">
  <sheetPr codeName="Hoja7">
    <pageSetUpPr fitToPage="1"/>
  </sheetPr>
  <dimension ref="A1:M25"/>
  <sheetViews>
    <sheetView showGridLines="0" zoomScale="85" zoomScaleNormal="85" zoomScalePageLayoutView="55" workbookViewId="0">
      <selection activeCell="O15" sqref="O15"/>
    </sheetView>
  </sheetViews>
  <sheetFormatPr baseColWidth="10" defaultRowHeight="15" x14ac:dyDescent="0.25"/>
  <cols>
    <col min="1" max="1" width="5.28515625" customWidth="1"/>
    <col min="2" max="2" width="9" bestFit="1" customWidth="1"/>
    <col min="4" max="4" width="12.85546875" customWidth="1"/>
    <col min="5" max="5" width="3.85546875" customWidth="1"/>
    <col min="13" max="13" width="4.28515625" customWidth="1"/>
  </cols>
  <sheetData>
    <row r="1" spans="1:13" x14ac:dyDescent="0.25">
      <c r="A1" s="98"/>
      <c r="B1" s="99"/>
      <c r="C1" s="99"/>
      <c r="D1" s="119" t="s">
        <v>126</v>
      </c>
      <c r="E1" s="119"/>
      <c r="F1" s="119"/>
      <c r="G1" s="119"/>
      <c r="H1" s="119"/>
      <c r="I1" s="119"/>
      <c r="J1" s="119"/>
      <c r="K1" s="119"/>
      <c r="L1" s="99"/>
      <c r="M1" s="100"/>
    </row>
    <row r="2" spans="1:13" x14ac:dyDescent="0.25">
      <c r="A2" s="101"/>
      <c r="B2" s="102"/>
      <c r="C2" s="102"/>
      <c r="D2" s="120"/>
      <c r="E2" s="120"/>
      <c r="F2" s="120"/>
      <c r="G2" s="120"/>
      <c r="H2" s="120"/>
      <c r="I2" s="120"/>
      <c r="J2" s="120"/>
      <c r="K2" s="120"/>
      <c r="L2" s="102"/>
      <c r="M2" s="103"/>
    </row>
    <row r="3" spans="1:13" x14ac:dyDescent="0.25">
      <c r="A3" s="101"/>
      <c r="B3" s="102"/>
      <c r="C3" s="102"/>
      <c r="D3" s="120"/>
      <c r="E3" s="120"/>
      <c r="F3" s="120"/>
      <c r="G3" s="120"/>
      <c r="H3" s="120"/>
      <c r="I3" s="120"/>
      <c r="J3" s="120"/>
      <c r="K3" s="120"/>
      <c r="L3" s="102"/>
      <c r="M3" s="103"/>
    </row>
    <row r="4" spans="1:13" ht="45" x14ac:dyDescent="0.25">
      <c r="A4" s="101"/>
      <c r="B4" s="95" t="s">
        <v>28</v>
      </c>
      <c r="C4" s="96" t="s">
        <v>0</v>
      </c>
      <c r="D4" s="96" t="s">
        <v>125</v>
      </c>
      <c r="E4" s="102"/>
      <c r="F4" s="102"/>
      <c r="G4" s="102"/>
      <c r="H4" s="102"/>
      <c r="I4" s="102"/>
      <c r="J4" s="102"/>
      <c r="K4" s="102"/>
      <c r="L4" s="102"/>
      <c r="M4" s="103"/>
    </row>
    <row r="5" spans="1:13" x14ac:dyDescent="0.25">
      <c r="A5" s="101"/>
      <c r="B5" s="97">
        <f>Calculo!A2</f>
        <v>1001</v>
      </c>
      <c r="C5" s="97" t="str">
        <f>Calculo!B2</f>
        <v>Ana</v>
      </c>
      <c r="D5" s="97">
        <f ca="1">Calculo!F2</f>
        <v>48</v>
      </c>
      <c r="E5" s="102"/>
      <c r="F5" s="102"/>
      <c r="G5" s="102"/>
      <c r="H5" s="102"/>
      <c r="I5" s="102"/>
      <c r="J5" s="102"/>
      <c r="K5" s="102"/>
      <c r="L5" s="102"/>
      <c r="M5" s="103"/>
    </row>
    <row r="6" spans="1:13" x14ac:dyDescent="0.25">
      <c r="A6" s="101"/>
      <c r="B6" s="97">
        <f>Calculo!A3</f>
        <v>1002</v>
      </c>
      <c r="C6" s="97" t="str">
        <f>Calculo!B3</f>
        <v>Luis</v>
      </c>
      <c r="D6" s="97">
        <f ca="1">Calculo!F3</f>
        <v>24</v>
      </c>
      <c r="E6" s="102"/>
      <c r="F6" s="102"/>
      <c r="G6" s="102"/>
      <c r="H6" s="102"/>
      <c r="I6" s="102"/>
      <c r="J6" s="102"/>
      <c r="K6" s="102"/>
      <c r="L6" s="102"/>
      <c r="M6" s="103"/>
    </row>
    <row r="7" spans="1:13" x14ac:dyDescent="0.25">
      <c r="A7" s="101"/>
      <c r="B7" s="97">
        <f>Calculo!A4</f>
        <v>1003</v>
      </c>
      <c r="C7" s="97" t="str">
        <f>Calculo!B4</f>
        <v>Maria</v>
      </c>
      <c r="D7" s="97">
        <f ca="1">Calculo!F4</f>
        <v>24</v>
      </c>
      <c r="E7" s="102"/>
      <c r="F7" s="102"/>
      <c r="G7" s="102"/>
      <c r="H7" s="102"/>
      <c r="I7" s="102"/>
      <c r="J7" s="102"/>
      <c r="K7" s="102"/>
      <c r="L7" s="102"/>
      <c r="M7" s="103"/>
    </row>
    <row r="8" spans="1:13" x14ac:dyDescent="0.25">
      <c r="A8" s="101"/>
      <c r="B8" s="97">
        <f>Calculo!A5</f>
        <v>1004</v>
      </c>
      <c r="C8" s="97" t="str">
        <f>Calculo!B5</f>
        <v>Hernesto</v>
      </c>
      <c r="D8" s="97">
        <f ca="1">Calculo!F5</f>
        <v>24</v>
      </c>
      <c r="E8" s="102"/>
      <c r="F8" s="102"/>
      <c r="G8" s="102"/>
      <c r="H8" s="102"/>
      <c r="I8" s="102"/>
      <c r="J8" s="102"/>
      <c r="K8" s="102"/>
      <c r="L8" s="102"/>
      <c r="M8" s="103"/>
    </row>
    <row r="9" spans="1:13" x14ac:dyDescent="0.25">
      <c r="A9" s="101"/>
      <c r="B9" s="97">
        <f>Calculo!A6</f>
        <v>1005</v>
      </c>
      <c r="C9" s="97" t="str">
        <f>Calculo!B6</f>
        <v>Javier</v>
      </c>
      <c r="D9" s="97">
        <f ca="1">Calculo!F6</f>
        <v>36</v>
      </c>
      <c r="E9" s="102"/>
      <c r="F9" s="102"/>
      <c r="G9" s="102"/>
      <c r="H9" s="102"/>
      <c r="I9" s="102"/>
      <c r="J9" s="102"/>
      <c r="K9" s="102"/>
      <c r="L9" s="102"/>
      <c r="M9" s="103"/>
    </row>
    <row r="10" spans="1:13" x14ac:dyDescent="0.25">
      <c r="A10" s="101"/>
      <c r="B10" s="97">
        <f>Calculo!A7</f>
        <v>1006</v>
      </c>
      <c r="C10" s="97" t="str">
        <f>Calculo!B7</f>
        <v>Ingrid</v>
      </c>
      <c r="D10" s="97">
        <f ca="1">Calculo!F7</f>
        <v>60</v>
      </c>
      <c r="E10" s="102"/>
      <c r="F10" s="102"/>
      <c r="G10" s="102"/>
      <c r="H10" s="102"/>
      <c r="I10" s="102"/>
      <c r="J10" s="102"/>
      <c r="K10" s="102"/>
      <c r="L10" s="102"/>
      <c r="M10" s="103"/>
    </row>
    <row r="11" spans="1:13" x14ac:dyDescent="0.25">
      <c r="A11" s="101"/>
      <c r="B11" s="97">
        <f>Calculo!A8</f>
        <v>1007</v>
      </c>
      <c r="C11" s="97" t="str">
        <f>Calculo!B8</f>
        <v>Mariela</v>
      </c>
      <c r="D11" s="97">
        <f ca="1">Calculo!F8</f>
        <v>48</v>
      </c>
      <c r="E11" s="102"/>
      <c r="F11" s="102"/>
      <c r="G11" s="102"/>
      <c r="H11" s="102"/>
      <c r="I11" s="102"/>
      <c r="J11" s="102"/>
      <c r="K11" s="102"/>
      <c r="L11" s="102"/>
      <c r="M11" s="103"/>
    </row>
    <row r="12" spans="1:13" x14ac:dyDescent="0.25">
      <c r="A12" s="101"/>
      <c r="B12" s="97">
        <f>Calculo!A9</f>
        <v>1008</v>
      </c>
      <c r="C12" s="97" t="str">
        <f>Calculo!B9</f>
        <v>Julio</v>
      </c>
      <c r="D12" s="97">
        <f ca="1">Calculo!F9</f>
        <v>24</v>
      </c>
      <c r="E12" s="102"/>
      <c r="F12" s="102"/>
      <c r="G12" s="102"/>
      <c r="H12" s="102"/>
      <c r="I12" s="102"/>
      <c r="J12" s="102"/>
      <c r="K12" s="102"/>
      <c r="L12" s="102"/>
      <c r="M12" s="103"/>
    </row>
    <row r="13" spans="1:13" x14ac:dyDescent="0.25">
      <c r="A13" s="101"/>
      <c r="B13" s="97">
        <f>Calculo!A10</f>
        <v>1009</v>
      </c>
      <c r="C13" s="97" t="str">
        <f>Calculo!B10</f>
        <v>Benito</v>
      </c>
      <c r="D13" s="97">
        <f ca="1">Calculo!F10</f>
        <v>12</v>
      </c>
      <c r="E13" s="102"/>
      <c r="F13" s="102"/>
      <c r="G13" s="102"/>
      <c r="H13" s="102"/>
      <c r="I13" s="102"/>
      <c r="J13" s="102"/>
      <c r="K13" s="102"/>
      <c r="L13" s="102"/>
      <c r="M13" s="103"/>
    </row>
    <row r="14" spans="1:13" x14ac:dyDescent="0.25">
      <c r="A14" s="101"/>
      <c r="B14" s="97">
        <f>Calculo!A11</f>
        <v>1010</v>
      </c>
      <c r="C14" s="97" t="str">
        <f>Calculo!B11</f>
        <v>Marisela</v>
      </c>
      <c r="D14" s="97">
        <f ca="1">Calculo!F11</f>
        <v>12</v>
      </c>
      <c r="E14" s="102"/>
      <c r="F14" s="102"/>
      <c r="G14" s="102"/>
      <c r="H14" s="102"/>
      <c r="I14" s="102"/>
      <c r="J14" s="102"/>
      <c r="K14" s="102"/>
      <c r="L14" s="102"/>
      <c r="M14" s="103"/>
    </row>
    <row r="15" spans="1:13" x14ac:dyDescent="0.25">
      <c r="A15" s="101"/>
      <c r="B15" s="97">
        <f>Calculo!A12</f>
        <v>1011</v>
      </c>
      <c r="C15" s="97" t="str">
        <f>Calculo!B12</f>
        <v>Amy</v>
      </c>
      <c r="D15" s="97">
        <f ca="1">Calculo!F12</f>
        <v>36</v>
      </c>
      <c r="E15" s="102"/>
      <c r="F15" s="102"/>
      <c r="G15" s="102"/>
      <c r="H15" s="102"/>
      <c r="I15" s="102"/>
      <c r="J15" s="102"/>
      <c r="K15" s="102"/>
      <c r="L15" s="102"/>
      <c r="M15" s="103"/>
    </row>
    <row r="16" spans="1:13" x14ac:dyDescent="0.25">
      <c r="A16" s="101"/>
      <c r="B16" s="97">
        <f>Calculo!A13</f>
        <v>1012</v>
      </c>
      <c r="C16" s="97" t="str">
        <f>Calculo!B13</f>
        <v>Dayana</v>
      </c>
      <c r="D16" s="97">
        <f ca="1">Calculo!F13</f>
        <v>24</v>
      </c>
      <c r="E16" s="102"/>
      <c r="F16" s="102"/>
      <c r="G16" s="102"/>
      <c r="H16" s="102"/>
      <c r="I16" s="102"/>
      <c r="J16" s="102"/>
      <c r="K16" s="102"/>
      <c r="L16" s="102"/>
      <c r="M16" s="103"/>
    </row>
    <row r="17" spans="1:13" x14ac:dyDescent="0.25">
      <c r="A17" s="101"/>
      <c r="B17" s="97">
        <f>Calculo!A14</f>
        <v>1013</v>
      </c>
      <c r="C17" s="97" t="str">
        <f>Calculo!B14</f>
        <v>Angela</v>
      </c>
      <c r="D17" s="97">
        <f ca="1">Calculo!F14</f>
        <v>24</v>
      </c>
      <c r="E17" s="102"/>
      <c r="F17" s="102"/>
      <c r="G17" s="102"/>
      <c r="H17" s="102"/>
      <c r="I17" s="102"/>
      <c r="J17" s="102"/>
      <c r="K17" s="102"/>
      <c r="L17" s="102"/>
      <c r="M17" s="103"/>
    </row>
    <row r="18" spans="1:13" x14ac:dyDescent="0.25">
      <c r="A18" s="101"/>
      <c r="B18" s="97">
        <f>Calculo!A15</f>
        <v>1014</v>
      </c>
      <c r="C18" s="97" t="str">
        <f>Calculo!B15</f>
        <v>Temperance</v>
      </c>
      <c r="D18" s="97">
        <f ca="1">Calculo!F15</f>
        <v>24</v>
      </c>
      <c r="E18" s="102"/>
      <c r="F18" s="102"/>
      <c r="G18" s="102"/>
      <c r="H18" s="102"/>
      <c r="I18" s="102"/>
      <c r="J18" s="102"/>
      <c r="K18" s="102"/>
      <c r="L18" s="102"/>
      <c r="M18" s="103"/>
    </row>
    <row r="19" spans="1:13" x14ac:dyDescent="0.25">
      <c r="A19" s="101"/>
      <c r="B19" s="97">
        <f>Calculo!A16</f>
        <v>1015</v>
      </c>
      <c r="C19" s="97" t="str">
        <f>Calculo!B16</f>
        <v>Seely</v>
      </c>
      <c r="D19" s="97">
        <f ca="1">Calculo!F16</f>
        <v>36</v>
      </c>
      <c r="E19" s="102"/>
      <c r="F19" s="102"/>
      <c r="G19" s="102"/>
      <c r="H19" s="102"/>
      <c r="I19" s="102"/>
      <c r="J19" s="102"/>
      <c r="K19" s="102"/>
      <c r="L19" s="102"/>
      <c r="M19" s="103"/>
    </row>
    <row r="20" spans="1:13" x14ac:dyDescent="0.25">
      <c r="A20" s="101"/>
      <c r="B20" s="97">
        <f>Calculo!A17</f>
        <v>1016</v>
      </c>
      <c r="C20" s="97" t="str">
        <f>Calculo!B17</f>
        <v>Enrrique</v>
      </c>
      <c r="D20" s="97">
        <f ca="1">Calculo!F17</f>
        <v>36</v>
      </c>
      <c r="E20" s="102"/>
      <c r="F20" s="102"/>
      <c r="G20" s="102"/>
      <c r="H20" s="102"/>
      <c r="I20" s="102"/>
      <c r="J20" s="102"/>
      <c r="K20" s="102"/>
      <c r="L20" s="102"/>
      <c r="M20" s="103"/>
    </row>
    <row r="21" spans="1:13" x14ac:dyDescent="0.25">
      <c r="A21" s="101"/>
      <c r="B21" s="97">
        <f>Calculo!A18</f>
        <v>1017</v>
      </c>
      <c r="C21" s="97" t="str">
        <f>Calculo!B18</f>
        <v>Mauricio</v>
      </c>
      <c r="D21" s="97">
        <f ca="1">Calculo!F18</f>
        <v>36</v>
      </c>
      <c r="E21" s="102"/>
      <c r="F21" s="102"/>
      <c r="G21" s="102"/>
      <c r="H21" s="102"/>
      <c r="I21" s="102"/>
      <c r="J21" s="102"/>
      <c r="K21" s="102"/>
      <c r="L21" s="102"/>
      <c r="M21" s="103"/>
    </row>
    <row r="22" spans="1:13" x14ac:dyDescent="0.25">
      <c r="A22" s="101"/>
      <c r="B22" s="97">
        <f>Calculo!A19</f>
        <v>1018</v>
      </c>
      <c r="C22" s="97" t="str">
        <f>Calculo!B19</f>
        <v>Valeria</v>
      </c>
      <c r="D22" s="97">
        <f ca="1">Calculo!F19</f>
        <v>36</v>
      </c>
      <c r="E22" s="102"/>
      <c r="F22" s="102"/>
      <c r="G22" s="102"/>
      <c r="H22" s="102"/>
      <c r="I22" s="102"/>
      <c r="J22" s="102"/>
      <c r="K22" s="102"/>
      <c r="L22" s="102"/>
      <c r="M22" s="103"/>
    </row>
    <row r="23" spans="1:13" x14ac:dyDescent="0.25">
      <c r="A23" s="101"/>
      <c r="B23" s="97">
        <f>Calculo!A20</f>
        <v>1019</v>
      </c>
      <c r="C23" s="97" t="str">
        <f>Calculo!B20</f>
        <v>Maria Jose</v>
      </c>
      <c r="D23" s="97">
        <f ca="1">Calculo!F20</f>
        <v>24</v>
      </c>
      <c r="E23" s="102"/>
      <c r="F23" s="102"/>
      <c r="G23" s="102"/>
      <c r="H23" s="102"/>
      <c r="I23" s="102"/>
      <c r="J23" s="102"/>
      <c r="K23" s="102"/>
      <c r="L23" s="102"/>
      <c r="M23" s="103"/>
    </row>
    <row r="24" spans="1:13" x14ac:dyDescent="0.25">
      <c r="A24" s="101"/>
      <c r="B24" s="97">
        <f>Calculo!A21</f>
        <v>1020</v>
      </c>
      <c r="C24" s="97" t="str">
        <f>Calculo!B21</f>
        <v>Mabelyn</v>
      </c>
      <c r="D24" s="97">
        <f ca="1">Calculo!F21</f>
        <v>0</v>
      </c>
      <c r="E24" s="102"/>
      <c r="F24" s="102"/>
      <c r="G24" s="102"/>
      <c r="H24" s="102"/>
      <c r="I24" s="102"/>
      <c r="J24" s="102"/>
      <c r="K24" s="102"/>
      <c r="L24" s="102"/>
      <c r="M24" s="103"/>
    </row>
    <row r="25" spans="1:13" ht="15.75" thickBot="1" x14ac:dyDescent="0.3">
      <c r="A25" s="104"/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6"/>
    </row>
  </sheetData>
  <mergeCells count="1">
    <mergeCell ref="D1:K3"/>
  </mergeCells>
  <pageMargins left="0.7" right="0.7" top="0.75" bottom="0.75" header="0.3" footer="0.3"/>
  <pageSetup scale="96" orientation="landscape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5" name="Button 1">
              <controlPr defaultSize="0" print="0" autoFill="0" autoPict="0" macro="[0]!Menu">
                <anchor moveWithCells="1" sizeWithCells="1">
                  <from>
                    <xdr:col>14</xdr:col>
                    <xdr:colOff>66675</xdr:colOff>
                    <xdr:row>4</xdr:row>
                    <xdr:rowOff>9525</xdr:rowOff>
                  </from>
                  <to>
                    <xdr:col>15</xdr:col>
                    <xdr:colOff>428625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6" name="Button 2">
              <controlPr defaultSize="0" print="0" autoFill="0" autoPict="0" macro="[0]!Exportar_Reporte_PDF">
                <anchor moveWithCells="1" sizeWithCells="1">
                  <from>
                    <xdr:col>14</xdr:col>
                    <xdr:colOff>9525</xdr:colOff>
                    <xdr:row>7</xdr:row>
                    <xdr:rowOff>57150</xdr:rowOff>
                  </from>
                  <to>
                    <xdr:col>15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1</vt:i4>
      </vt:variant>
    </vt:vector>
  </HeadingPairs>
  <TitlesOfParts>
    <vt:vector size="12" baseType="lpstr">
      <vt:lpstr>MENU</vt:lpstr>
      <vt:lpstr>Parametros</vt:lpstr>
      <vt:lpstr>Planilla</vt:lpstr>
      <vt:lpstr>Feriados</vt:lpstr>
      <vt:lpstr>Registro_Diario</vt:lpstr>
      <vt:lpstr>Registro_Mensual</vt:lpstr>
      <vt:lpstr>Resumen_Asistencia</vt:lpstr>
      <vt:lpstr>Solicitud_Vacaciones</vt:lpstr>
      <vt:lpstr>Estatus de Vacaciones</vt:lpstr>
      <vt:lpstr>Calculo</vt:lpstr>
      <vt:lpstr>Reportes</vt:lpstr>
      <vt:lpstr>Reportes!Área_de_impresión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Mabelyn Ruiz</dc:creator>
  <cp:lastModifiedBy>Mabelyn Ruiz</cp:lastModifiedBy>
  <cp:lastPrinted>2026-03-10T20:42:56Z</cp:lastPrinted>
  <dcterms:created xsi:type="dcterms:W3CDTF">2025-07-21T09:59:32Z</dcterms:created>
  <dcterms:modified xsi:type="dcterms:W3CDTF">2026-03-11T04:26:34Z</dcterms:modified>
</cp:coreProperties>
</file>